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arethJ\OneDrive - Broadridge Financial Solutions, Inc\personal\projects\gp\GP2\test\"/>
    </mc:Choice>
  </mc:AlternateContent>
  <xr:revisionPtr revIDLastSave="0" documentId="13_ncr:1_{3D12D650-F76B-403A-81B6-CE2BA8BC0F00}" xr6:coauthVersionLast="47" xr6:coauthVersionMax="47" xr10:uidLastSave="{00000000-0000-0000-0000-000000000000}"/>
  <bookViews>
    <workbookView xWindow="11268" yWindow="1860" windowWidth="11676" windowHeight="10692" xr2:uid="{00000000-000D-0000-FFFF-FFFF00000000}"/>
  </bookViews>
  <sheets>
    <sheet name="default" sheetId="1" r:id="rId1"/>
    <sheet name="420.madison" sheetId="2" r:id="rId2"/>
    <sheet name="broadridge.return" sheetId="3" r:id="rId3"/>
    <sheet name="invictus" sheetId="4" r:id="rId4"/>
    <sheet name="saluzinho" sheetId="5" r:id="rId5"/>
    <sheet name="taxes" sheetId="6" r:id="rId6"/>
  </sheets>
  <calcPr calcId="0"/>
  <pivotCaches>
    <pivotCache cacheId="641" r:id="rId7"/>
    <pivotCache cacheId="645" r:id="rId8"/>
    <pivotCache cacheId="649" r:id="rId9"/>
    <pivotCache cacheId="653" r:id="rId10"/>
    <pivotCache cacheId="657" r:id="rId11"/>
    <pivotCache cacheId="661" r:id="rId12"/>
  </pivotCaches>
</workbook>
</file>

<file path=xl/sharedStrings.xml><?xml version="1.0" encoding="utf-8"?>
<sst xmlns="http://schemas.openxmlformats.org/spreadsheetml/2006/main" count="552" uniqueCount="94">
  <si>
    <t/>
  </si>
  <si>
    <t>transaction amounts</t>
  </si>
  <si>
    <t>(you owe) / owed to you</t>
  </si>
  <si>
    <t>individual "spent"</t>
  </si>
  <si>
    <t>individual "paid"</t>
  </si>
  <si>
    <t>Item</t>
  </si>
  <si>
    <t>Category</t>
  </si>
  <si>
    <t>Vendor</t>
  </si>
  <si>
    <t>Description</t>
  </si>
  <si>
    <t>Amount</t>
  </si>
  <si>
    <t>From</t>
  </si>
  <si>
    <t>To</t>
  </si>
  <si>
    <t>Action</t>
  </si>
  <si>
    <t>gd</t>
  </si>
  <si>
    <t>jn</t>
  </si>
  <si>
    <t>Thu 03.Apr</t>
  </si>
  <si>
    <t>Shopping</t>
  </si>
  <si>
    <t>AMAZON MARK SEATTLE WA</t>
  </si>
  <si>
    <t>jn (*:self), gd (*:self), default (*:group)</t>
  </si>
  <si>
    <t>Fri 04.Apr</t>
  </si>
  <si>
    <t>Groceries</t>
  </si>
  <si>
    <t>SAMS CLUB SECAUCUS NJ</t>
  </si>
  <si>
    <t>SHOPRITE HOBOKEN S HOBOKEN NJ</t>
  </si>
  <si>
    <t>Sat 05.Apr</t>
  </si>
  <si>
    <t>TRADER JOES HOBOKEN NJ</t>
  </si>
  <si>
    <t>Coffee</t>
  </si>
  <si>
    <t>DUNKIN HOBOKEN NJ</t>
  </si>
  <si>
    <t>WALMART</t>
  </si>
  <si>
    <t>Sun 06.Apr</t>
  </si>
  <si>
    <t>AAPKA BIG BAZAAR JERSEY CITY NJ</t>
  </si>
  <si>
    <t>Mon 07.Apr</t>
  </si>
  <si>
    <t>Charity</t>
  </si>
  <si>
    <t>GIV ST ANN CATHO HOBOKEN NJ</t>
  </si>
  <si>
    <t>Tue 08.Apr</t>
  </si>
  <si>
    <t>Tolls</t>
  </si>
  <si>
    <t>NJ EZPASS NEWARK NJ</t>
  </si>
  <si>
    <t>Restaurants/Dining</t>
  </si>
  <si>
    <t>DELI NEW YORK NY</t>
  </si>
  <si>
    <t>Wed 09.Apr</t>
  </si>
  <si>
    <t>Public Transport</t>
  </si>
  <si>
    <t>NJT TH ST HOBOKEN NJ</t>
  </si>
  <si>
    <t>Gas &amp; Fuel</t>
  </si>
  <si>
    <t>BP BQPS HOBOKEN NJ</t>
  </si>
  <si>
    <t>Fri 11.Apr</t>
  </si>
  <si>
    <t>CAMPINO RESTAURANT</t>
  </si>
  <si>
    <t>DOMINOS HOBOKEN USA</t>
  </si>
  <si>
    <t>ENORMOUSDEALS LLC SALT LAKE CIT USA</t>
  </si>
  <si>
    <t>Sat 12.Apr</t>
  </si>
  <si>
    <t>ALDI NORTH BERGEN NJ</t>
  </si>
  <si>
    <t>Home Supplies</t>
  </si>
  <si>
    <t>DOLLAR TREE UNION CITY NJ</t>
  </si>
  <si>
    <t>Sun 13.Apr</t>
  </si>
  <si>
    <t>Phone, Internet &amp; Cable</t>
  </si>
  <si>
    <t>SLING.COM ENGLEWOOD CO</t>
  </si>
  <si>
    <t>NETFLIX.COM LOS GATOS CA</t>
  </si>
  <si>
    <t>Mon 14.Apr</t>
  </si>
  <si>
    <t>Hair &amp; Nails</t>
  </si>
  <si>
    <t>ZELLE PAYMENT TO JUST FOR MEN BARBER SHOP UNISEX SD LLC CONF DSYROQDW</t>
  </si>
  <si>
    <t>Tue 15.Apr</t>
  </si>
  <si>
    <t>PABT</t>
  </si>
  <si>
    <t>NJT BUS</t>
  </si>
  <si>
    <t>Tue 01.Apr</t>
  </si>
  <si>
    <t>Household Services</t>
  </si>
  <si>
    <t>SIXTY PROPERTY WEB PMTS</t>
  </si>
  <si>
    <t>jn (*:self), gd (*:self), 420.madison (*:group)</t>
  </si>
  <si>
    <t>Wed 02.Apr</t>
  </si>
  <si>
    <t>Mortgage &amp; Rent</t>
  </si>
  <si>
    <t>UNFCU CKWTH</t>
  </si>
  <si>
    <t>ZG YOUR RENTAL RENT L5</t>
  </si>
  <si>
    <t>UNFCU ID INDN JOHN NAZARETH CO PPD PMT INFO PRINCIPAL PYMNT</t>
  </si>
  <si>
    <t>jn (*:self), gd (*:self), broadridge.return (*:group)</t>
  </si>
  <si>
    <t>IRON BAR AND GRILL NEW YORK NY</t>
  </si>
  <si>
    <t>DUNKIN NEW YORK NY</t>
  </si>
  <si>
    <t>Thu 10.Apr</t>
  </si>
  <si>
    <t>IRON BAR AND GRILL NEW YORK USA</t>
  </si>
  <si>
    <t>DUNKIN NEW YORK USA</t>
  </si>
  <si>
    <t>DD BR DEER PK USA</t>
  </si>
  <si>
    <t>DUNKIN HOBOKEN USA</t>
  </si>
  <si>
    <t>TMOBILE PREPD AUTOPY WA</t>
  </si>
  <si>
    <t>jn (*:self), gd (*:self), invictus (*:group)</t>
  </si>
  <si>
    <t>PATH TAPP PAYGO CP NEW JERSEY NJ</t>
  </si>
  <si>
    <t>Business</t>
  </si>
  <si>
    <t>NJGOVSERVEW DES NJGOVSERVE ID INDN JOHN B NAZARETH CO WEB</t>
  </si>
  <si>
    <t>jn (*:self), gd (*:self), saluzinho (*:group)</t>
  </si>
  <si>
    <t>Taxes</t>
  </si>
  <si>
    <t>UNIVERSAL TAX CRANFORD NJ</t>
  </si>
  <si>
    <t>jn (*:self), gd (*:self), taxes (*:group)</t>
  </si>
  <si>
    <t>State Tax</t>
  </si>
  <si>
    <t>NEW JERSEY TGI P DES INDN NAZARETH CO WEB PMT INFO TXP T NAZA</t>
  </si>
  <si>
    <t>Federal Tax</t>
  </si>
  <si>
    <t>IRS DES USATAXPYMT INDN JOHN B GILLIAN NAZAR CO PPD</t>
  </si>
  <si>
    <t>Values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</si>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</sst>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&quot;-&quot;??_);_(@_)"/>
  </numFmts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none"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double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3" borderId="3" xfId="0" applyFill="1" applyBorder="1"/>
    <xf numFmtId="0" fontId="0" fillId="3" borderId="6" xfId="0" applyFill="1" applyBorder="1"/>
    <xf numFmtId="0" fontId="0" fillId="3" borderId="7" xfId="0" applyFill="1" applyBorder="1"/>
    <xf numFmtId="164" fontId="0" fillId="3" borderId="7" xfId="0" applyNumberFormat="1" applyFill="1" applyBorder="1"/>
    <xf numFmtId="0" fontId="0" fillId="2" borderId="9" xfId="0" applyFill="1" applyBorder="1"/>
    <xf numFmtId="0" fontId="0" fillId="3" borderId="10" xfId="0" applyFill="1" applyBorder="1"/>
    <xf numFmtId="0" fontId="0" fillId="3" borderId="11" xfId="0" applyFill="1" applyBorder="1"/>
    <xf numFmtId="164" fontId="0" fillId="3" borderId="3" xfId="0" applyNumberFormat="1" applyFill="1" applyBorder="1"/>
    <xf numFmtId="164" fontId="0" fillId="3" borderId="6" xfId="0" applyNumberFormat="1" applyFill="1" applyBorder="1"/>
    <xf numFmtId="164" fontId="0" fillId="3" borderId="10" xfId="0" applyNumberFormat="1" applyFill="1" applyBorder="1"/>
    <xf numFmtId="164" fontId="0" fillId="3" borderId="11" xfId="0" applyNumberFormat="1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8" xfId="0" applyFill="1" applyBorder="1"/>
    <xf numFmtId="0" fontId="0" fillId="3" borderId="8" xfId="0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803.437706712961" createdVersion="3" refreshedVersion="8" minRefreshableVersion="3" recordCount="3" xr:uid="{00000000-000A-0000-FFFF-FFFF07000000}">
  <cacheSource type="worksheet">
    <worksheetSource ref="A2:J5" sheet="taxes"/>
  </cacheSource>
  <cacheFields count="10">
    <cacheField name="Item" numFmtId="0">
      <sharedItems/>
    </cacheField>
    <cacheField name="Category" numFmtId="0">
      <sharedItems count="3">
        <s v="Taxes"/>
        <s v="State Tax"/>
        <s v="Federal Tax"/>
      </sharedItems>
    </cacheField>
    <cacheField name="Vendor" numFmtId="0">
      <sharedItems/>
    </cacheField>
    <cacheField name="Description" numFmtId="0">
      <sharedItems/>
    </cacheField>
    <cacheField name="Amount" numFmtId="164">
      <sharedItems containsSemiMixedTypes="0" containsString="0" containsNumber="1" containsInteger="1" minValue="320" maxValue="7513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gd" numFmtId="164">
      <sharedItems containsSemiMixedTypes="0" containsString="0" containsNumber="1" containsInteger="1" minValue="0" maxValue="0"/>
    </cacheField>
    <cacheField name="jn" numFmtId="164">
      <sharedItems containsSemiMixedTypes="0" containsString="0" containsNumber="1" containsInteger="1" minValue="320" maxValue="75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803.437706944445" createdVersion="3" refreshedVersion="8" minRefreshableVersion="3" recordCount="1" xr:uid="{00000000-000A-0000-FFFF-FFFF06000000}">
  <cacheSource type="worksheet">
    <worksheetSource ref="A2:J3" sheet="saluzinho"/>
  </cacheSource>
  <cacheFields count="10">
    <cacheField name="Item" numFmtId="0">
      <sharedItems/>
    </cacheField>
    <cacheField name="Category" numFmtId="0">
      <sharedItems count="1">
        <s v="Business"/>
      </sharedItems>
    </cacheField>
    <cacheField name="Vendor" numFmtId="0">
      <sharedItems/>
    </cacheField>
    <cacheField name="Description" numFmtId="0">
      <sharedItems/>
    </cacheField>
    <cacheField name="Amount" numFmtId="164">
      <sharedItems containsSemiMixedTypes="0" containsString="0" containsNumber="1" minValue="75.5" maxValue="75.5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gd" numFmtId="164">
      <sharedItems containsSemiMixedTypes="0" containsString="0" containsNumber="1" containsInteger="1" minValue="0" maxValue="0"/>
    </cacheField>
    <cacheField name="jn" numFmtId="164">
      <sharedItems containsSemiMixedTypes="0" containsString="0" containsNumber="1" minValue="75.5" maxValue="75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803.437707060184" createdVersion="3" refreshedVersion="8" minRefreshableVersion="3" recordCount="3" xr:uid="{00000000-000A-0000-FFFF-FFFF05000000}">
  <cacheSource type="worksheet">
    <worksheetSource ref="A2:J5" sheet="invictus"/>
  </cacheSource>
  <cacheFields count="10">
    <cacheField name="Item" numFmtId="0">
      <sharedItems/>
    </cacheField>
    <cacheField name="Category" numFmtId="0">
      <sharedItems count="2">
        <s v="Phone, Internet &amp; Cable"/>
        <s v="Public Transport"/>
      </sharedItems>
    </cacheField>
    <cacheField name="Vendor" numFmtId="0">
      <sharedItems/>
    </cacheField>
    <cacheField name="Description" numFmtId="0">
      <sharedItems/>
    </cacheField>
    <cacheField name="Amount" numFmtId="164">
      <sharedItems containsSemiMixedTypes="0" containsString="0" containsNumber="1" minValue="3" maxValue="15.99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gd" numFmtId="164">
      <sharedItems containsSemiMixedTypes="0" containsString="0" containsNumber="1" minValue="3" maxValue="15.99"/>
    </cacheField>
    <cacheField name="jn" numFmtId="164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803.437707175923" createdVersion="3" refreshedVersion="8" minRefreshableVersion="3" recordCount="9" xr:uid="{00000000-000A-0000-FFFF-FFFF04000000}">
  <cacheSource type="worksheet">
    <worksheetSource ref="A2:J11" sheet="broadridge.return"/>
  </cacheSource>
  <cacheFields count="10">
    <cacheField name="Item" numFmtId="0">
      <sharedItems/>
    </cacheField>
    <cacheField name="Category" numFmtId="0">
      <sharedItems count="2">
        <s v="Restaurants/Dining"/>
        <s v="Coffee"/>
      </sharedItems>
    </cacheField>
    <cacheField name="Vendor" numFmtId="0">
      <sharedItems/>
    </cacheField>
    <cacheField name="Description" numFmtId="0">
      <sharedItems/>
    </cacheField>
    <cacheField name="Amount" numFmtId="164">
      <sharedItems containsSemiMixedTypes="0" containsString="0" containsNumber="1" minValue="3.69" maxValue="35.08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gd" numFmtId="164">
      <sharedItems containsSemiMixedTypes="0" containsString="0" containsNumber="1" containsInteger="1" minValue="0" maxValue="0"/>
    </cacheField>
    <cacheField name="jn" numFmtId="164">
      <sharedItems containsSemiMixedTypes="0" containsString="0" containsNumber="1" minValue="3.69" maxValue="35.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803.437707291669" createdVersion="3" refreshedVersion="8" minRefreshableVersion="3" recordCount="4" xr:uid="{00000000-000A-0000-FFFF-FFFF03000000}">
  <cacheSource type="worksheet">
    <worksheetSource ref="A2:J6" sheet="420.madison"/>
  </cacheSource>
  <cacheFields count="10">
    <cacheField name="Item" numFmtId="0">
      <sharedItems/>
    </cacheField>
    <cacheField name="Category" numFmtId="0">
      <sharedItems count="2">
        <s v="Household Services"/>
        <s v="Mortgage &amp; Rent"/>
      </sharedItems>
    </cacheField>
    <cacheField name="Vendor" numFmtId="0">
      <sharedItems/>
    </cacheField>
    <cacheField name="Description" numFmtId="0">
      <sharedItems/>
    </cacheField>
    <cacheField name="Amount" numFmtId="164">
      <sharedItems containsSemiMixedTypes="0" containsString="0" containsNumber="1" minValue="-2950" maxValue="3000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gd" numFmtId="164">
      <sharedItems containsSemiMixedTypes="0" containsString="0" containsNumber="1" containsInteger="1" minValue="0" maxValue="0"/>
    </cacheField>
    <cacheField name="jn" numFmtId="164">
      <sharedItems containsSemiMixedTypes="0" containsString="0" containsNumber="1" minValue="-2950" maxValue="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803.437707291669" createdVersion="3" refreshedVersion="8" minRefreshableVersion="3" recordCount="25" xr:uid="{00000000-000A-0000-FFFF-FFFF02000000}">
  <cacheSource type="worksheet">
    <worksheetSource ref="A2:J27" sheet="default"/>
  </cacheSource>
  <cacheFields count="10">
    <cacheField name="Item" numFmtId="0">
      <sharedItems/>
    </cacheField>
    <cacheField name="Category" numFmtId="0">
      <sharedItems count="11">
        <s v="Shopping"/>
        <s v="Groceries"/>
        <s v="Coffee"/>
        <s v="Charity"/>
        <s v="Tolls"/>
        <s v="Restaurants/Dining"/>
        <s v="Public Transport"/>
        <s v="Gas &amp; Fuel"/>
        <s v="Home Supplies"/>
        <s v="Phone, Internet &amp; Cable"/>
        <s v="Hair &amp; Nails"/>
      </sharedItems>
    </cacheField>
    <cacheField name="Vendor" numFmtId="0">
      <sharedItems/>
    </cacheField>
    <cacheField name="Description" numFmtId="0">
      <sharedItems/>
    </cacheField>
    <cacheField name="Amount" numFmtId="164">
      <sharedItems containsSemiMixedTypes="0" containsString="0" containsNumber="1" minValue="2.5499999999999998" maxValue="88.65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gd" numFmtId="164">
      <sharedItems containsSemiMixedTypes="0" containsString="0" containsNumber="1" minValue="0" maxValue="34.67"/>
    </cacheField>
    <cacheField name="jn" numFmtId="164">
      <sharedItems containsSemiMixedTypes="0" containsString="0" containsNumber="1" minValue="0" maxValue="88.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Sun 13.Apr"/>
    <x v="0"/>
    <s v=""/>
    <s v="UNIVERSAL TAX CRANFORD NJ"/>
    <n v="320"/>
    <s v="jn"/>
    <s v="jn"/>
    <s v="jn (*:self), gd (*:self), taxes (*:group)"/>
    <n v="0"/>
    <n v="320"/>
  </r>
  <r>
    <s v="Tue 15.Apr"/>
    <x v="1"/>
    <s v=""/>
    <s v="NEW JERSEY TGI P DES INDN NAZARETH CO WEB PMT INFO TXP T NAZA"/>
    <n v="2549"/>
    <s v="jn"/>
    <s v="jn"/>
    <s v=""/>
    <n v="0"/>
    <n v="2549"/>
  </r>
  <r>
    <s v="Tue 15.Apr"/>
    <x v="2"/>
    <s v=""/>
    <s v="IRS DES USATAXPYMT INDN JOHN B GILLIAN NAZAR CO PPD"/>
    <n v="7513"/>
    <s v="jn"/>
    <s v="jn"/>
    <s v=""/>
    <n v="0"/>
    <n v="75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s v="Mon 14.Apr"/>
    <x v="0"/>
    <s v=""/>
    <s v="NJGOVSERVEW DES NJGOVSERVE ID INDN JOHN B NAZARETH CO WEB"/>
    <n v="75.5"/>
    <s v="jn"/>
    <s v="jn"/>
    <s v="jn (*:self), gd (*:self), saluzinho (*:group)"/>
    <n v="0"/>
    <n v="75.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Sun 06.Apr"/>
    <x v="0"/>
    <s v=""/>
    <s v="TMOBILE PREPD AUTOPY WA"/>
    <n v="15.99"/>
    <s v="jn"/>
    <s v="gd"/>
    <s v="jn (*:self), gd (*:self), invictus (*:group)"/>
    <n v="15.99"/>
    <n v="0"/>
  </r>
  <r>
    <s v="Wed 09.Apr"/>
    <x v="1"/>
    <s v=""/>
    <s v="PATH TAPP PAYGO CP NEW JERSEY NJ"/>
    <n v="3"/>
    <s v="jn"/>
    <s v="gd"/>
    <s v=""/>
    <n v="3"/>
    <n v="0"/>
  </r>
  <r>
    <s v="Wed 09.Apr"/>
    <x v="1"/>
    <s v=""/>
    <s v="PATH TAPP PAYGO CP NEW JERSEY NJ"/>
    <n v="3"/>
    <s v="jn"/>
    <s v="gd"/>
    <s v=""/>
    <n v="3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Tue 01.Apr"/>
    <x v="0"/>
    <s v=""/>
    <s v="DELI NEW YORK NY"/>
    <n v="14.42"/>
    <s v="jn"/>
    <s v="jn"/>
    <s v="jn (*:self), gd (*:self), broadridge.return (*:group)"/>
    <n v="0"/>
    <n v="14.42"/>
  </r>
  <r>
    <s v="Thu 03.Apr"/>
    <x v="0"/>
    <s v=""/>
    <s v="IRON BAR AND GRILL NEW YORK NY"/>
    <n v="35.08"/>
    <s v="jn"/>
    <s v="jn"/>
    <s v=""/>
    <n v="0"/>
    <n v="35.08"/>
  </r>
  <r>
    <s v="Thu 03.Apr"/>
    <x v="1"/>
    <s v=""/>
    <s v="DUNKIN NEW YORK NY"/>
    <n v="7.62"/>
    <s v="jn"/>
    <s v="jn"/>
    <s v=""/>
    <n v="0"/>
    <n v="7.62"/>
  </r>
  <r>
    <s v="Thu 03.Apr"/>
    <x v="1"/>
    <s v=""/>
    <s v="DUNKIN NEW YORK NY"/>
    <n v="4.3"/>
    <s v="jn"/>
    <s v="jn"/>
    <s v=""/>
    <n v="0"/>
    <n v="4.3"/>
  </r>
  <r>
    <s v="Tue 08.Apr"/>
    <x v="1"/>
    <s v=""/>
    <s v="DUNKIN NEW YORK NY"/>
    <n v="4.3"/>
    <s v="jn"/>
    <s v="jn"/>
    <s v=""/>
    <n v="0"/>
    <n v="4.3"/>
  </r>
  <r>
    <s v="Thu 10.Apr"/>
    <x v="0"/>
    <s v=""/>
    <s v="IRON BAR AND GRILL NEW YORK USA"/>
    <n v="29.08"/>
    <s v="jn"/>
    <s v="jn"/>
    <s v=""/>
    <n v="0"/>
    <n v="29.08"/>
  </r>
  <r>
    <s v="Thu 10.Apr"/>
    <x v="1"/>
    <s v=""/>
    <s v="DUNKIN NEW YORK USA"/>
    <n v="3.97"/>
    <s v="jn"/>
    <s v="jn"/>
    <s v=""/>
    <n v="0"/>
    <n v="3.97"/>
  </r>
  <r>
    <s v="Tue 15.Apr"/>
    <x v="1"/>
    <s v=""/>
    <s v="DD BR DEER PK USA"/>
    <n v="3.69"/>
    <s v="jn"/>
    <s v="jn"/>
    <s v=""/>
    <n v="0"/>
    <n v="3.69"/>
  </r>
  <r>
    <s v="Tue 15.Apr"/>
    <x v="1"/>
    <s v=""/>
    <s v="DUNKIN HOBOKEN USA"/>
    <n v="4.25"/>
    <s v="jn"/>
    <s v="jn"/>
    <s v=""/>
    <n v="0"/>
    <n v="4.2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Tue 01.Apr"/>
    <x v="0"/>
    <s v=""/>
    <s v="SIXTY PROPERTY WEB PMTS"/>
    <n v="443.13"/>
    <s v="jn"/>
    <s v="jn"/>
    <s v="jn (*:self), gd (*:self), 420.madison (*:group)"/>
    <n v="0"/>
    <n v="443.13"/>
  </r>
  <r>
    <s v="Wed 02.Apr"/>
    <x v="1"/>
    <s v=""/>
    <s v="UNFCU CKWTH"/>
    <n v="2610.3000000000002"/>
    <s v="jn"/>
    <s v="jn"/>
    <s v=""/>
    <n v="0"/>
    <n v="2610.3000000000002"/>
  </r>
  <r>
    <s v="Tue 08.Apr"/>
    <x v="1"/>
    <s v=""/>
    <s v="ZG YOUR RENTAL RENT L5"/>
    <n v="-2950"/>
    <s v="jn"/>
    <s v="jn"/>
    <s v=""/>
    <n v="0"/>
    <n v="-2950"/>
  </r>
  <r>
    <s v="Tue 15.Apr"/>
    <x v="1"/>
    <s v=""/>
    <s v="UNFCU ID INDN JOHN NAZARETH CO PPD PMT INFO PRINCIPAL PYMNT"/>
    <n v="3000"/>
    <s v="jn"/>
    <s v="jn"/>
    <s v=""/>
    <n v="0"/>
    <n v="300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Thu 03.Apr"/>
    <x v="0"/>
    <s v=""/>
    <s v="AMAZON MARK SEATTLE WA"/>
    <n v="27.57"/>
    <s v="jn"/>
    <s v="jn"/>
    <s v="jn (*:self), gd (*:self), default (*:group)"/>
    <n v="0"/>
    <n v="27.57"/>
  </r>
  <r>
    <s v="Fri 04.Apr"/>
    <x v="1"/>
    <s v=""/>
    <s v="SAMS CLUB SECAUCUS NJ"/>
    <n v="88.65"/>
    <s v="jn"/>
    <s v="jn"/>
    <s v=""/>
    <n v="0"/>
    <n v="88.65"/>
  </r>
  <r>
    <s v="Fri 04.Apr"/>
    <x v="1"/>
    <s v=""/>
    <s v="SHOPRITE HOBOKEN S HOBOKEN NJ"/>
    <n v="30.75"/>
    <s v="jn"/>
    <s v="jn"/>
    <s v=""/>
    <n v="0"/>
    <n v="30.75"/>
  </r>
  <r>
    <s v="Sat 05.Apr"/>
    <x v="1"/>
    <s v=""/>
    <s v="TRADER JOES HOBOKEN NJ"/>
    <n v="14.13"/>
    <s v="jn"/>
    <s v="jn"/>
    <s v=""/>
    <n v="0"/>
    <n v="14.13"/>
  </r>
  <r>
    <s v="Sat 05.Apr"/>
    <x v="1"/>
    <s v=""/>
    <s v="SHOPRITE HOBOKEN S HOBOKEN NJ"/>
    <n v="6.07"/>
    <s v="jn"/>
    <s v="jn"/>
    <s v=""/>
    <n v="0"/>
    <n v="6.07"/>
  </r>
  <r>
    <s v="Sat 05.Apr"/>
    <x v="1"/>
    <s v=""/>
    <s v="SHOPRITE HOBOKEN S HOBOKEN NJ"/>
    <n v="3.58"/>
    <s v="jn"/>
    <s v="jn"/>
    <s v=""/>
    <n v="0"/>
    <n v="3.58"/>
  </r>
  <r>
    <s v="Sat 05.Apr"/>
    <x v="2"/>
    <s v=""/>
    <s v="DUNKIN HOBOKEN NJ"/>
    <n v="3.83"/>
    <s v="jn"/>
    <s v="jn"/>
    <s v=""/>
    <n v="0"/>
    <n v="3.83"/>
  </r>
  <r>
    <s v="Sat 05.Apr"/>
    <x v="0"/>
    <s v=""/>
    <s v="WALMART"/>
    <n v="13.14"/>
    <s v="jn"/>
    <s v="jn"/>
    <s v=""/>
    <n v="0"/>
    <n v="13.14"/>
  </r>
  <r>
    <s v="Sun 06.Apr"/>
    <x v="1"/>
    <s v=""/>
    <s v="AAPKA BIG BAZAAR JERSEY CITY NJ"/>
    <n v="16.04"/>
    <s v="jn"/>
    <s v="jn"/>
    <s v=""/>
    <n v="0"/>
    <n v="16.04"/>
  </r>
  <r>
    <s v="Mon 07.Apr"/>
    <x v="1"/>
    <s v=""/>
    <s v="SHOPRITE HOBOKEN S HOBOKEN NJ"/>
    <n v="11.47"/>
    <s v="jn"/>
    <s v="jn"/>
    <s v=""/>
    <n v="0"/>
    <n v="11.47"/>
  </r>
  <r>
    <s v="Mon 07.Apr"/>
    <x v="3"/>
    <s v=""/>
    <s v="GIV ST ANN CATHO HOBOKEN NJ"/>
    <n v="20"/>
    <s v="jn"/>
    <s v="jn"/>
    <s v=""/>
    <n v="0"/>
    <n v="20"/>
  </r>
  <r>
    <s v="Tue 08.Apr"/>
    <x v="4"/>
    <s v=""/>
    <s v="NJ EZPASS NEWARK NJ"/>
    <n v="25"/>
    <s v="jn"/>
    <s v="jn"/>
    <s v=""/>
    <n v="0"/>
    <n v="25"/>
  </r>
  <r>
    <s v="Tue 08.Apr"/>
    <x v="5"/>
    <s v=""/>
    <s v="DELI NEW YORK NY"/>
    <n v="14.42"/>
    <s v="jn"/>
    <s v="jn"/>
    <s v=""/>
    <n v="0"/>
    <n v="14.42"/>
  </r>
  <r>
    <s v="Wed 09.Apr"/>
    <x v="6"/>
    <s v=""/>
    <s v="NJT TH ST HOBOKEN NJ"/>
    <n v="2.5499999999999998"/>
    <s v="jn"/>
    <s v="jn"/>
    <s v=""/>
    <n v="0"/>
    <n v="2.5499999999999998"/>
  </r>
  <r>
    <s v="Wed 09.Apr"/>
    <x v="7"/>
    <s v=""/>
    <s v="BP BQPS HOBOKEN NJ"/>
    <n v="42.78"/>
    <s v="jn"/>
    <s v="jn"/>
    <s v=""/>
    <n v="0"/>
    <n v="42.78"/>
  </r>
  <r>
    <s v="Fri 11.Apr"/>
    <x v="5"/>
    <s v=""/>
    <s v="CAMPINO RESTAURANT"/>
    <n v="34.67"/>
    <s v="jn"/>
    <s v="gd"/>
    <s v=""/>
    <n v="34.67"/>
    <n v="0"/>
  </r>
  <r>
    <s v="Fri 11.Apr"/>
    <x v="5"/>
    <s v=""/>
    <s v="DOMINOS HOBOKEN USA"/>
    <n v="8.52"/>
    <s v="jn"/>
    <s v="jn"/>
    <s v=""/>
    <n v="0"/>
    <n v="8.52"/>
  </r>
  <r>
    <s v="Fri 11.Apr"/>
    <x v="0"/>
    <s v=""/>
    <s v="ENORMOUSDEALS LLC SALT LAKE CIT USA"/>
    <n v="9.69"/>
    <s v="jn"/>
    <s v="jn"/>
    <s v=""/>
    <n v="0"/>
    <n v="9.69"/>
  </r>
  <r>
    <s v="Sat 12.Apr"/>
    <x v="1"/>
    <s v=""/>
    <s v="ALDI NORTH BERGEN NJ"/>
    <n v="26.08"/>
    <s v="jn"/>
    <s v="jn"/>
    <s v=""/>
    <n v="0"/>
    <n v="26.08"/>
  </r>
  <r>
    <s v="Sat 12.Apr"/>
    <x v="8"/>
    <s v=""/>
    <s v="DOLLAR TREE UNION CITY NJ"/>
    <n v="5.12"/>
    <s v="jn"/>
    <s v="jn"/>
    <s v=""/>
    <n v="0"/>
    <n v="5.12"/>
  </r>
  <r>
    <s v="Sun 13.Apr"/>
    <x v="9"/>
    <s v=""/>
    <s v="SLING.COM ENGLEWOOD CO"/>
    <n v="50.99"/>
    <s v="jn"/>
    <s v="jn"/>
    <s v=""/>
    <n v="0"/>
    <n v="50.99"/>
  </r>
  <r>
    <s v="Sun 13.Apr"/>
    <x v="9"/>
    <s v=""/>
    <s v="NETFLIX.COM LOS GATOS CA"/>
    <n v="8.52"/>
    <s v="jn"/>
    <s v="jn"/>
    <s v=""/>
    <n v="0"/>
    <n v="8.52"/>
  </r>
  <r>
    <s v="Mon 14.Apr"/>
    <x v="10"/>
    <s v=""/>
    <s v="ZELLE PAYMENT TO JUST FOR MEN BARBER SHOP UNISEX SD LLC CONF DSYROQDW"/>
    <n v="25"/>
    <s v="jn"/>
    <s v="jn"/>
    <s v=""/>
    <n v="0"/>
    <n v="25"/>
  </r>
  <r>
    <s v="Tue 15.Apr"/>
    <x v="6"/>
    <s v=""/>
    <s v="PABT"/>
    <n v="4"/>
    <s v="jn"/>
    <s v="jn"/>
    <s v=""/>
    <n v="0"/>
    <n v="4"/>
  </r>
  <r>
    <s v="Tue 15.Apr"/>
    <x v="6"/>
    <s v=""/>
    <s v="NJT BUS"/>
    <n v="8"/>
    <s v="jn"/>
    <s v="jn"/>
    <s v=""/>
    <n v="0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661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29:D42" firstHeaderRow="1" firstDataRow="2" firstDataCol="1"/>
  <pivotFields count="10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gd" fld="8" baseField="0" baseItem="0" numFmtId="164"/>
    <dataField name="jn" fld="9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3" cacheId="657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8:D12" firstHeaderRow="1" firstDataRow="2" firstDataCol="1"/>
  <pivotFields count="10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gd" fld="8" baseField="0" baseItem="0" numFmtId="164"/>
    <dataField name="jn" fld="9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4" cacheId="653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13:D17" firstHeaderRow="1" firstDataRow="2" firstDataCol="1"/>
  <pivotFields count="10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gd" fld="8" baseField="0" baseItem="0" numFmtId="164"/>
    <dataField name="jn" fld="9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PivotTable5" cacheId="649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7:D11" firstHeaderRow="1" firstDataRow="2" firstDataCol="1"/>
  <pivotFields count="10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gd" fld="8" baseField="0" baseItem="0" numFmtId="164"/>
    <dataField name="jn" fld="9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PivotTable6" cacheId="645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5:D8" firstHeaderRow="1" firstDataRow="2" firstDataCol="1"/>
  <pivotFields count="10"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gd" fld="8" baseField="0" baseItem="0" numFmtId="164"/>
    <dataField name="jn" fld="9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5000000}" name="PivotTable7" cacheId="641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7:D12" firstHeaderRow="1" firstDataRow="2" firstDataCol="1"/>
  <pivotFields count="10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gd" fld="8" baseField="0" baseItem="0" numFmtId="164"/>
    <dataField name="jn" fld="9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tabSelected="1" topLeftCell="A26" workbookViewId="0">
      <selection sqref="A1:H1"/>
    </sheetView>
  </sheetViews>
  <sheetFormatPr defaultRowHeight="14.4" x14ac:dyDescent="0.3"/>
  <cols>
    <col min="2" max="2" width="20" bestFit="1" customWidth="1"/>
    <col min="3" max="3" width="7.88671875" bestFit="1" customWidth="1"/>
  </cols>
  <sheetData>
    <row r="1" spans="1:16" x14ac:dyDescent="0.3">
      <c r="A1" s="15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  <c r="H1" s="17" t="s">
        <v>0</v>
      </c>
      <c r="I1" s="15" t="s">
        <v>1</v>
      </c>
      <c r="J1" s="17" t="s">
        <v>0</v>
      </c>
      <c r="K1" s="15" t="s">
        <v>2</v>
      </c>
      <c r="L1" s="17" t="s">
        <v>0</v>
      </c>
      <c r="M1" s="15" t="s">
        <v>3</v>
      </c>
      <c r="N1" s="17" t="s">
        <v>0</v>
      </c>
      <c r="O1" s="15" t="s">
        <v>4</v>
      </c>
      <c r="P1" s="18"/>
    </row>
    <row r="2" spans="1:16" x14ac:dyDescent="0.3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8" t="s">
        <v>12</v>
      </c>
      <c r="I2" s="3" t="s">
        <v>13</v>
      </c>
      <c r="J2" s="8" t="s">
        <v>14</v>
      </c>
      <c r="K2" s="3" t="s">
        <v>13</v>
      </c>
      <c r="L2" s="8" t="s">
        <v>14</v>
      </c>
      <c r="M2" s="3" t="s">
        <v>13</v>
      </c>
      <c r="N2" s="8" t="s">
        <v>14</v>
      </c>
      <c r="O2" s="3" t="s">
        <v>13</v>
      </c>
      <c r="P2" s="8" t="s">
        <v>14</v>
      </c>
    </row>
    <row r="3" spans="1:16" x14ac:dyDescent="0.3">
      <c r="A3" s="4" t="s">
        <v>15</v>
      </c>
      <c r="B3" t="s">
        <v>16</v>
      </c>
      <c r="C3" t="s">
        <v>0</v>
      </c>
      <c r="D3" t="s">
        <v>17</v>
      </c>
      <c r="E3" s="1">
        <v>27.57</v>
      </c>
      <c r="F3" t="s">
        <v>14</v>
      </c>
      <c r="G3" t="s">
        <v>14</v>
      </c>
      <c r="H3" s="9" t="s">
        <v>18</v>
      </c>
      <c r="I3" s="11">
        <v>0</v>
      </c>
      <c r="J3" s="13">
        <v>27.57</v>
      </c>
      <c r="K3" s="11">
        <v>0</v>
      </c>
      <c r="L3" s="13">
        <v>0</v>
      </c>
      <c r="M3" s="11">
        <v>0</v>
      </c>
      <c r="N3" s="13">
        <v>27.57</v>
      </c>
      <c r="O3" s="11">
        <v>0</v>
      </c>
      <c r="P3" s="13">
        <v>27.57</v>
      </c>
    </row>
    <row r="4" spans="1:16" x14ac:dyDescent="0.3">
      <c r="A4" s="4" t="s">
        <v>19</v>
      </c>
      <c r="B4" t="s">
        <v>20</v>
      </c>
      <c r="C4" t="s">
        <v>0</v>
      </c>
      <c r="D4" t="s">
        <v>21</v>
      </c>
      <c r="E4" s="1">
        <v>88.65</v>
      </c>
      <c r="F4" t="s">
        <v>14</v>
      </c>
      <c r="G4" t="s">
        <v>14</v>
      </c>
      <c r="H4" s="9" t="s">
        <v>0</v>
      </c>
      <c r="I4" s="11">
        <v>0</v>
      </c>
      <c r="J4" s="13">
        <v>88.65</v>
      </c>
      <c r="K4" s="11">
        <v>0</v>
      </c>
      <c r="L4" s="13">
        <v>0</v>
      </c>
      <c r="M4" s="11">
        <v>0</v>
      </c>
      <c r="N4" s="13">
        <v>116.22</v>
      </c>
      <c r="O4" s="11">
        <v>0</v>
      </c>
      <c r="P4" s="13">
        <v>116.22</v>
      </c>
    </row>
    <row r="5" spans="1:16" x14ac:dyDescent="0.3">
      <c r="A5" s="4" t="s">
        <v>19</v>
      </c>
      <c r="B5" t="s">
        <v>20</v>
      </c>
      <c r="C5" t="s">
        <v>0</v>
      </c>
      <c r="D5" t="s">
        <v>22</v>
      </c>
      <c r="E5" s="1">
        <v>30.75</v>
      </c>
      <c r="F5" t="s">
        <v>14</v>
      </c>
      <c r="G5" t="s">
        <v>14</v>
      </c>
      <c r="H5" s="9" t="s">
        <v>0</v>
      </c>
      <c r="I5" s="11">
        <v>0</v>
      </c>
      <c r="J5" s="13">
        <v>30.75</v>
      </c>
      <c r="K5" s="11">
        <v>0</v>
      </c>
      <c r="L5" s="13">
        <v>0</v>
      </c>
      <c r="M5" s="11">
        <v>0</v>
      </c>
      <c r="N5" s="13">
        <v>146.97</v>
      </c>
      <c r="O5" s="11">
        <v>0</v>
      </c>
      <c r="P5" s="13">
        <v>146.97</v>
      </c>
    </row>
    <row r="6" spans="1:16" x14ac:dyDescent="0.3">
      <c r="A6" s="4" t="s">
        <v>23</v>
      </c>
      <c r="B6" t="s">
        <v>20</v>
      </c>
      <c r="C6" t="s">
        <v>0</v>
      </c>
      <c r="D6" t="s">
        <v>24</v>
      </c>
      <c r="E6" s="1">
        <v>14.13</v>
      </c>
      <c r="F6" t="s">
        <v>14</v>
      </c>
      <c r="G6" t="s">
        <v>14</v>
      </c>
      <c r="H6" s="9" t="s">
        <v>0</v>
      </c>
      <c r="I6" s="11">
        <v>0</v>
      </c>
      <c r="J6" s="13">
        <v>14.13</v>
      </c>
      <c r="K6" s="11">
        <v>0</v>
      </c>
      <c r="L6" s="13">
        <v>0</v>
      </c>
      <c r="M6" s="11">
        <v>0</v>
      </c>
      <c r="N6" s="13">
        <v>161.1</v>
      </c>
      <c r="O6" s="11">
        <v>0</v>
      </c>
      <c r="P6" s="13">
        <v>161.1</v>
      </c>
    </row>
    <row r="7" spans="1:16" x14ac:dyDescent="0.3">
      <c r="A7" s="4" t="s">
        <v>23</v>
      </c>
      <c r="B7" t="s">
        <v>20</v>
      </c>
      <c r="C7" t="s">
        <v>0</v>
      </c>
      <c r="D7" t="s">
        <v>22</v>
      </c>
      <c r="E7" s="1">
        <v>6.07</v>
      </c>
      <c r="F7" t="s">
        <v>14</v>
      </c>
      <c r="G7" t="s">
        <v>14</v>
      </c>
      <c r="H7" s="9" t="s">
        <v>0</v>
      </c>
      <c r="I7" s="11">
        <v>0</v>
      </c>
      <c r="J7" s="13">
        <v>6.07</v>
      </c>
      <c r="K7" s="11">
        <v>0</v>
      </c>
      <c r="L7" s="13">
        <v>0</v>
      </c>
      <c r="M7" s="11">
        <v>0</v>
      </c>
      <c r="N7" s="13">
        <v>167.17</v>
      </c>
      <c r="O7" s="11">
        <v>0</v>
      </c>
      <c r="P7" s="13">
        <v>167.17</v>
      </c>
    </row>
    <row r="8" spans="1:16" x14ac:dyDescent="0.3">
      <c r="A8" s="4" t="s">
        <v>23</v>
      </c>
      <c r="B8" t="s">
        <v>20</v>
      </c>
      <c r="C8" t="s">
        <v>0</v>
      </c>
      <c r="D8" t="s">
        <v>22</v>
      </c>
      <c r="E8" s="1">
        <v>3.58</v>
      </c>
      <c r="F8" t="s">
        <v>14</v>
      </c>
      <c r="G8" t="s">
        <v>14</v>
      </c>
      <c r="H8" s="9" t="s">
        <v>0</v>
      </c>
      <c r="I8" s="11">
        <v>0</v>
      </c>
      <c r="J8" s="13">
        <v>3.58</v>
      </c>
      <c r="K8" s="11">
        <v>0</v>
      </c>
      <c r="L8" s="13">
        <v>0</v>
      </c>
      <c r="M8" s="11">
        <v>0</v>
      </c>
      <c r="N8" s="13">
        <v>170.75</v>
      </c>
      <c r="O8" s="11">
        <v>0</v>
      </c>
      <c r="P8" s="13">
        <v>170.75</v>
      </c>
    </row>
    <row r="9" spans="1:16" x14ac:dyDescent="0.3">
      <c r="A9" s="4" t="s">
        <v>23</v>
      </c>
      <c r="B9" t="s">
        <v>25</v>
      </c>
      <c r="C9" t="s">
        <v>0</v>
      </c>
      <c r="D9" t="s">
        <v>26</v>
      </c>
      <c r="E9" s="1">
        <v>3.83</v>
      </c>
      <c r="F9" t="s">
        <v>14</v>
      </c>
      <c r="G9" t="s">
        <v>14</v>
      </c>
      <c r="H9" s="9" t="s">
        <v>0</v>
      </c>
      <c r="I9" s="11">
        <v>0</v>
      </c>
      <c r="J9" s="13">
        <v>3.83</v>
      </c>
      <c r="K9" s="11">
        <v>0</v>
      </c>
      <c r="L9" s="13">
        <v>0</v>
      </c>
      <c r="M9" s="11">
        <v>0</v>
      </c>
      <c r="N9" s="13">
        <v>174.58</v>
      </c>
      <c r="O9" s="11">
        <v>0</v>
      </c>
      <c r="P9" s="13">
        <v>174.58</v>
      </c>
    </row>
    <row r="10" spans="1:16" x14ac:dyDescent="0.3">
      <c r="A10" s="4" t="s">
        <v>23</v>
      </c>
      <c r="B10" t="s">
        <v>16</v>
      </c>
      <c r="C10" t="s">
        <v>0</v>
      </c>
      <c r="D10" t="s">
        <v>27</v>
      </c>
      <c r="E10" s="1">
        <v>13.14</v>
      </c>
      <c r="F10" t="s">
        <v>14</v>
      </c>
      <c r="G10" t="s">
        <v>14</v>
      </c>
      <c r="H10" s="9" t="s">
        <v>0</v>
      </c>
      <c r="I10" s="11">
        <v>0</v>
      </c>
      <c r="J10" s="13">
        <v>13.14</v>
      </c>
      <c r="K10" s="11">
        <v>0</v>
      </c>
      <c r="L10" s="13">
        <v>0</v>
      </c>
      <c r="M10" s="11">
        <v>0</v>
      </c>
      <c r="N10" s="13">
        <v>187.72</v>
      </c>
      <c r="O10" s="11">
        <v>0</v>
      </c>
      <c r="P10" s="13">
        <v>187.72</v>
      </c>
    </row>
    <row r="11" spans="1:16" x14ac:dyDescent="0.3">
      <c r="A11" s="4" t="s">
        <v>28</v>
      </c>
      <c r="B11" t="s">
        <v>20</v>
      </c>
      <c r="C11" t="s">
        <v>0</v>
      </c>
      <c r="D11" t="s">
        <v>29</v>
      </c>
      <c r="E11" s="1">
        <v>16.04</v>
      </c>
      <c r="F11" t="s">
        <v>14</v>
      </c>
      <c r="G11" t="s">
        <v>14</v>
      </c>
      <c r="H11" s="9" t="s">
        <v>0</v>
      </c>
      <c r="I11" s="11">
        <v>0</v>
      </c>
      <c r="J11" s="13">
        <v>16.04</v>
      </c>
      <c r="K11" s="11">
        <v>0</v>
      </c>
      <c r="L11" s="13">
        <v>0</v>
      </c>
      <c r="M11" s="11">
        <v>0</v>
      </c>
      <c r="N11" s="13">
        <v>203.76</v>
      </c>
      <c r="O11" s="11">
        <v>0</v>
      </c>
      <c r="P11" s="13">
        <v>203.76</v>
      </c>
    </row>
    <row r="12" spans="1:16" x14ac:dyDescent="0.3">
      <c r="A12" s="4" t="s">
        <v>30</v>
      </c>
      <c r="B12" t="s">
        <v>20</v>
      </c>
      <c r="C12" t="s">
        <v>0</v>
      </c>
      <c r="D12" t="s">
        <v>22</v>
      </c>
      <c r="E12" s="1">
        <v>11.47</v>
      </c>
      <c r="F12" t="s">
        <v>14</v>
      </c>
      <c r="G12" t="s">
        <v>14</v>
      </c>
      <c r="H12" s="9" t="s">
        <v>0</v>
      </c>
      <c r="I12" s="11">
        <v>0</v>
      </c>
      <c r="J12" s="13">
        <v>11.47</v>
      </c>
      <c r="K12" s="11">
        <v>0</v>
      </c>
      <c r="L12" s="13">
        <v>0</v>
      </c>
      <c r="M12" s="11">
        <v>0</v>
      </c>
      <c r="N12" s="13">
        <v>215.23</v>
      </c>
      <c r="O12" s="11">
        <v>0</v>
      </c>
      <c r="P12" s="13">
        <v>215.23</v>
      </c>
    </row>
    <row r="13" spans="1:16" x14ac:dyDescent="0.3">
      <c r="A13" s="4" t="s">
        <v>30</v>
      </c>
      <c r="B13" t="s">
        <v>31</v>
      </c>
      <c r="C13" t="s">
        <v>0</v>
      </c>
      <c r="D13" t="s">
        <v>32</v>
      </c>
      <c r="E13" s="1">
        <v>20</v>
      </c>
      <c r="F13" t="s">
        <v>14</v>
      </c>
      <c r="G13" t="s">
        <v>14</v>
      </c>
      <c r="H13" s="9" t="s">
        <v>0</v>
      </c>
      <c r="I13" s="11">
        <v>0</v>
      </c>
      <c r="J13" s="13">
        <v>20</v>
      </c>
      <c r="K13" s="11">
        <v>0</v>
      </c>
      <c r="L13" s="13">
        <v>0</v>
      </c>
      <c r="M13" s="11">
        <v>0</v>
      </c>
      <c r="N13" s="13">
        <v>235.23</v>
      </c>
      <c r="O13" s="11">
        <v>0</v>
      </c>
      <c r="P13" s="13">
        <v>235.23</v>
      </c>
    </row>
    <row r="14" spans="1:16" x14ac:dyDescent="0.3">
      <c r="A14" s="4" t="s">
        <v>33</v>
      </c>
      <c r="B14" t="s">
        <v>34</v>
      </c>
      <c r="C14" t="s">
        <v>0</v>
      </c>
      <c r="D14" t="s">
        <v>35</v>
      </c>
      <c r="E14" s="1">
        <v>25</v>
      </c>
      <c r="F14" t="s">
        <v>14</v>
      </c>
      <c r="G14" t="s">
        <v>14</v>
      </c>
      <c r="H14" s="9" t="s">
        <v>0</v>
      </c>
      <c r="I14" s="11">
        <v>0</v>
      </c>
      <c r="J14" s="13">
        <v>25</v>
      </c>
      <c r="K14" s="11">
        <v>0</v>
      </c>
      <c r="L14" s="13">
        <v>0</v>
      </c>
      <c r="M14" s="11">
        <v>0</v>
      </c>
      <c r="N14" s="13">
        <v>260.23</v>
      </c>
      <c r="O14" s="11">
        <v>0</v>
      </c>
      <c r="P14" s="13">
        <v>260.23</v>
      </c>
    </row>
    <row r="15" spans="1:16" x14ac:dyDescent="0.3">
      <c r="A15" s="4" t="s">
        <v>33</v>
      </c>
      <c r="B15" t="s">
        <v>36</v>
      </c>
      <c r="C15" t="s">
        <v>0</v>
      </c>
      <c r="D15" t="s">
        <v>37</v>
      </c>
      <c r="E15" s="1">
        <v>14.42</v>
      </c>
      <c r="F15" t="s">
        <v>14</v>
      </c>
      <c r="G15" t="s">
        <v>14</v>
      </c>
      <c r="H15" s="9" t="s">
        <v>0</v>
      </c>
      <c r="I15" s="11">
        <v>0</v>
      </c>
      <c r="J15" s="13">
        <v>14.42</v>
      </c>
      <c r="K15" s="11">
        <v>0</v>
      </c>
      <c r="L15" s="13">
        <v>0</v>
      </c>
      <c r="M15" s="11">
        <v>0</v>
      </c>
      <c r="N15" s="13">
        <v>274.64999999999998</v>
      </c>
      <c r="O15" s="11">
        <v>0</v>
      </c>
      <c r="P15" s="13">
        <v>274.64999999999998</v>
      </c>
    </row>
    <row r="16" spans="1:16" x14ac:dyDescent="0.3">
      <c r="A16" s="4" t="s">
        <v>38</v>
      </c>
      <c r="B16" t="s">
        <v>39</v>
      </c>
      <c r="C16" t="s">
        <v>0</v>
      </c>
      <c r="D16" t="s">
        <v>40</v>
      </c>
      <c r="E16" s="1">
        <v>2.5499999999999998</v>
      </c>
      <c r="F16" t="s">
        <v>14</v>
      </c>
      <c r="G16" t="s">
        <v>14</v>
      </c>
      <c r="H16" s="9" t="s">
        <v>0</v>
      </c>
      <c r="I16" s="11">
        <v>0</v>
      </c>
      <c r="J16" s="13">
        <v>2.5499999999999998</v>
      </c>
      <c r="K16" s="11">
        <v>0</v>
      </c>
      <c r="L16" s="13">
        <v>0</v>
      </c>
      <c r="M16" s="11">
        <v>0</v>
      </c>
      <c r="N16" s="13">
        <v>277.2</v>
      </c>
      <c r="O16" s="11">
        <v>0</v>
      </c>
      <c r="P16" s="13">
        <v>277.2</v>
      </c>
    </row>
    <row r="17" spans="1:16" x14ac:dyDescent="0.3">
      <c r="A17" s="4" t="s">
        <v>38</v>
      </c>
      <c r="B17" t="s">
        <v>41</v>
      </c>
      <c r="C17" t="s">
        <v>0</v>
      </c>
      <c r="D17" t="s">
        <v>42</v>
      </c>
      <c r="E17" s="1">
        <v>42.78</v>
      </c>
      <c r="F17" t="s">
        <v>14</v>
      </c>
      <c r="G17" t="s">
        <v>14</v>
      </c>
      <c r="H17" s="9" t="s">
        <v>0</v>
      </c>
      <c r="I17" s="11">
        <v>0</v>
      </c>
      <c r="J17" s="13">
        <v>42.78</v>
      </c>
      <c r="K17" s="11">
        <v>0</v>
      </c>
      <c r="L17" s="13">
        <v>0</v>
      </c>
      <c r="M17" s="11">
        <v>0</v>
      </c>
      <c r="N17" s="13">
        <v>319.98</v>
      </c>
      <c r="O17" s="11">
        <v>0</v>
      </c>
      <c r="P17" s="13">
        <v>319.98</v>
      </c>
    </row>
    <row r="18" spans="1:16" x14ac:dyDescent="0.3">
      <c r="A18" s="4" t="s">
        <v>43</v>
      </c>
      <c r="B18" t="s">
        <v>36</v>
      </c>
      <c r="C18" t="s">
        <v>0</v>
      </c>
      <c r="D18" t="s">
        <v>44</v>
      </c>
      <c r="E18" s="1">
        <v>34.67</v>
      </c>
      <c r="F18" t="s">
        <v>14</v>
      </c>
      <c r="G18" t="s">
        <v>13</v>
      </c>
      <c r="H18" s="9" t="s">
        <v>0</v>
      </c>
      <c r="I18" s="11">
        <v>34.67</v>
      </c>
      <c r="J18" s="13">
        <v>0</v>
      </c>
      <c r="K18" s="11">
        <v>-34.67</v>
      </c>
      <c r="L18" s="13">
        <v>34.67</v>
      </c>
      <c r="M18" s="11">
        <v>34.67</v>
      </c>
      <c r="N18" s="13">
        <v>319.98</v>
      </c>
      <c r="O18" s="11">
        <v>0</v>
      </c>
      <c r="P18" s="13">
        <v>354.65</v>
      </c>
    </row>
    <row r="19" spans="1:16" x14ac:dyDescent="0.3">
      <c r="A19" s="4" t="s">
        <v>43</v>
      </c>
      <c r="B19" t="s">
        <v>36</v>
      </c>
      <c r="C19" t="s">
        <v>0</v>
      </c>
      <c r="D19" t="s">
        <v>45</v>
      </c>
      <c r="E19" s="1">
        <v>8.52</v>
      </c>
      <c r="F19" t="s">
        <v>14</v>
      </c>
      <c r="G19" t="s">
        <v>14</v>
      </c>
      <c r="H19" s="9" t="s">
        <v>0</v>
      </c>
      <c r="I19" s="11">
        <v>0</v>
      </c>
      <c r="J19" s="13">
        <v>8.52</v>
      </c>
      <c r="K19" s="11">
        <v>-34.67</v>
      </c>
      <c r="L19" s="13">
        <v>34.67</v>
      </c>
      <c r="M19" s="11">
        <v>34.67</v>
      </c>
      <c r="N19" s="13">
        <v>328.5</v>
      </c>
      <c r="O19" s="11">
        <v>0</v>
      </c>
      <c r="P19" s="13">
        <v>363.17</v>
      </c>
    </row>
    <row r="20" spans="1:16" x14ac:dyDescent="0.3">
      <c r="A20" s="4" t="s">
        <v>43</v>
      </c>
      <c r="B20" t="s">
        <v>16</v>
      </c>
      <c r="C20" t="s">
        <v>0</v>
      </c>
      <c r="D20" t="s">
        <v>46</v>
      </c>
      <c r="E20" s="1">
        <v>9.69</v>
      </c>
      <c r="F20" t="s">
        <v>14</v>
      </c>
      <c r="G20" t="s">
        <v>14</v>
      </c>
      <c r="H20" s="9" t="s">
        <v>0</v>
      </c>
      <c r="I20" s="11">
        <v>0</v>
      </c>
      <c r="J20" s="13">
        <v>9.69</v>
      </c>
      <c r="K20" s="11">
        <v>-34.67</v>
      </c>
      <c r="L20" s="13">
        <v>34.67</v>
      </c>
      <c r="M20" s="11">
        <v>34.67</v>
      </c>
      <c r="N20" s="13">
        <v>338.19</v>
      </c>
      <c r="O20" s="11">
        <v>0</v>
      </c>
      <c r="P20" s="13">
        <v>372.86</v>
      </c>
    </row>
    <row r="21" spans="1:16" x14ac:dyDescent="0.3">
      <c r="A21" s="4" t="s">
        <v>47</v>
      </c>
      <c r="B21" t="s">
        <v>20</v>
      </c>
      <c r="C21" t="s">
        <v>0</v>
      </c>
      <c r="D21" t="s">
        <v>48</v>
      </c>
      <c r="E21" s="1">
        <v>26.08</v>
      </c>
      <c r="F21" t="s">
        <v>14</v>
      </c>
      <c r="G21" t="s">
        <v>14</v>
      </c>
      <c r="H21" s="9" t="s">
        <v>0</v>
      </c>
      <c r="I21" s="11">
        <v>0</v>
      </c>
      <c r="J21" s="13">
        <v>26.08</v>
      </c>
      <c r="K21" s="11">
        <v>-34.67</v>
      </c>
      <c r="L21" s="13">
        <v>34.67</v>
      </c>
      <c r="M21" s="11">
        <v>34.67</v>
      </c>
      <c r="N21" s="13">
        <v>364.27</v>
      </c>
      <c r="O21" s="11">
        <v>0</v>
      </c>
      <c r="P21" s="13">
        <v>398.94</v>
      </c>
    </row>
    <row r="22" spans="1:16" x14ac:dyDescent="0.3">
      <c r="A22" s="4" t="s">
        <v>47</v>
      </c>
      <c r="B22" t="s">
        <v>49</v>
      </c>
      <c r="C22" t="s">
        <v>0</v>
      </c>
      <c r="D22" t="s">
        <v>50</v>
      </c>
      <c r="E22" s="1">
        <v>5.12</v>
      </c>
      <c r="F22" t="s">
        <v>14</v>
      </c>
      <c r="G22" t="s">
        <v>14</v>
      </c>
      <c r="H22" s="9" t="s">
        <v>0</v>
      </c>
      <c r="I22" s="11">
        <v>0</v>
      </c>
      <c r="J22" s="13">
        <v>5.12</v>
      </c>
      <c r="K22" s="11">
        <v>-34.67</v>
      </c>
      <c r="L22" s="13">
        <v>34.67</v>
      </c>
      <c r="M22" s="11">
        <v>34.67</v>
      </c>
      <c r="N22" s="13">
        <v>369.39</v>
      </c>
      <c r="O22" s="11">
        <v>0</v>
      </c>
      <c r="P22" s="13">
        <v>404.06</v>
      </c>
    </row>
    <row r="23" spans="1:16" x14ac:dyDescent="0.3">
      <c r="A23" s="4" t="s">
        <v>51</v>
      </c>
      <c r="B23" t="s">
        <v>52</v>
      </c>
      <c r="C23" t="s">
        <v>0</v>
      </c>
      <c r="D23" t="s">
        <v>53</v>
      </c>
      <c r="E23" s="1">
        <v>50.99</v>
      </c>
      <c r="F23" t="s">
        <v>14</v>
      </c>
      <c r="G23" t="s">
        <v>14</v>
      </c>
      <c r="H23" s="9" t="s">
        <v>0</v>
      </c>
      <c r="I23" s="11">
        <v>0</v>
      </c>
      <c r="J23" s="13">
        <v>50.99</v>
      </c>
      <c r="K23" s="11">
        <v>-34.67</v>
      </c>
      <c r="L23" s="13">
        <v>34.67</v>
      </c>
      <c r="M23" s="11">
        <v>34.67</v>
      </c>
      <c r="N23" s="13">
        <v>420.38</v>
      </c>
      <c r="O23" s="11">
        <v>0</v>
      </c>
      <c r="P23" s="13">
        <v>455.05</v>
      </c>
    </row>
    <row r="24" spans="1:16" x14ac:dyDescent="0.3">
      <c r="A24" s="4" t="s">
        <v>51</v>
      </c>
      <c r="B24" t="s">
        <v>52</v>
      </c>
      <c r="C24" t="s">
        <v>0</v>
      </c>
      <c r="D24" t="s">
        <v>54</v>
      </c>
      <c r="E24" s="1">
        <v>8.52</v>
      </c>
      <c r="F24" t="s">
        <v>14</v>
      </c>
      <c r="G24" t="s">
        <v>14</v>
      </c>
      <c r="H24" s="9" t="s">
        <v>0</v>
      </c>
      <c r="I24" s="11">
        <v>0</v>
      </c>
      <c r="J24" s="13">
        <v>8.52</v>
      </c>
      <c r="K24" s="11">
        <v>-34.67</v>
      </c>
      <c r="L24" s="13">
        <v>34.67</v>
      </c>
      <c r="M24" s="11">
        <v>34.67</v>
      </c>
      <c r="N24" s="13">
        <v>428.9</v>
      </c>
      <c r="O24" s="11">
        <v>0</v>
      </c>
      <c r="P24" s="13">
        <v>463.57</v>
      </c>
    </row>
    <row r="25" spans="1:16" x14ac:dyDescent="0.3">
      <c r="A25" s="4" t="s">
        <v>55</v>
      </c>
      <c r="B25" t="s">
        <v>56</v>
      </c>
      <c r="C25" t="s">
        <v>0</v>
      </c>
      <c r="D25" t="s">
        <v>57</v>
      </c>
      <c r="E25" s="1">
        <v>25</v>
      </c>
      <c r="F25" t="s">
        <v>14</v>
      </c>
      <c r="G25" t="s">
        <v>14</v>
      </c>
      <c r="H25" s="9" t="s">
        <v>0</v>
      </c>
      <c r="I25" s="11">
        <v>0</v>
      </c>
      <c r="J25" s="13">
        <v>25</v>
      </c>
      <c r="K25" s="11">
        <v>-34.67</v>
      </c>
      <c r="L25" s="13">
        <v>34.67</v>
      </c>
      <c r="M25" s="11">
        <v>34.67</v>
      </c>
      <c r="N25" s="13">
        <v>453.9</v>
      </c>
      <c r="O25" s="11">
        <v>0</v>
      </c>
      <c r="P25" s="13">
        <v>488.57</v>
      </c>
    </row>
    <row r="26" spans="1:16" x14ac:dyDescent="0.3">
      <c r="A26" s="4" t="s">
        <v>58</v>
      </c>
      <c r="B26" t="s">
        <v>39</v>
      </c>
      <c r="C26" t="s">
        <v>0</v>
      </c>
      <c r="D26" t="s">
        <v>59</v>
      </c>
      <c r="E26" s="1">
        <v>4</v>
      </c>
      <c r="F26" t="s">
        <v>14</v>
      </c>
      <c r="G26" t="s">
        <v>14</v>
      </c>
      <c r="H26" s="9" t="s">
        <v>0</v>
      </c>
      <c r="I26" s="11">
        <v>0</v>
      </c>
      <c r="J26" s="13">
        <v>4</v>
      </c>
      <c r="K26" s="11">
        <v>-34.67</v>
      </c>
      <c r="L26" s="13">
        <v>34.67</v>
      </c>
      <c r="M26" s="11">
        <v>34.67</v>
      </c>
      <c r="N26" s="13">
        <v>457.9</v>
      </c>
      <c r="O26" s="11">
        <v>0</v>
      </c>
      <c r="P26" s="13">
        <v>492.57</v>
      </c>
    </row>
    <row r="27" spans="1:16" x14ac:dyDescent="0.3">
      <c r="A27" s="5" t="s">
        <v>58</v>
      </c>
      <c r="B27" s="6" t="s">
        <v>39</v>
      </c>
      <c r="C27" s="6" t="s">
        <v>0</v>
      </c>
      <c r="D27" s="6" t="s">
        <v>60</v>
      </c>
      <c r="E27" s="7">
        <v>8</v>
      </c>
      <c r="F27" s="6" t="s">
        <v>14</v>
      </c>
      <c r="G27" s="6" t="s">
        <v>14</v>
      </c>
      <c r="H27" s="10" t="s">
        <v>0</v>
      </c>
      <c r="I27" s="12">
        <v>0</v>
      </c>
      <c r="J27" s="14">
        <v>8</v>
      </c>
      <c r="K27" s="12">
        <v>-34.67</v>
      </c>
      <c r="L27" s="14">
        <v>34.67</v>
      </c>
      <c r="M27" s="12">
        <v>34.67</v>
      </c>
      <c r="N27" s="14">
        <v>465.9</v>
      </c>
      <c r="O27" s="12">
        <v>0</v>
      </c>
      <c r="P27" s="14">
        <v>500.57</v>
      </c>
    </row>
    <row r="29" spans="1:16" x14ac:dyDescent="0.3">
      <c r="C29" s="19" t="s">
        <v>91</v>
      </c>
    </row>
    <row r="30" spans="1:16" x14ac:dyDescent="0.3">
      <c r="B30" s="19" t="s">
        <v>92</v>
      </c>
      <c r="C30" t="s">
        <v>13</v>
      </c>
      <c r="D30" t="s">
        <v>14</v>
      </c>
    </row>
    <row r="31" spans="1:16" x14ac:dyDescent="0.3">
      <c r="B31" s="20" t="s">
        <v>16</v>
      </c>
      <c r="C31" s="1">
        <v>0</v>
      </c>
      <c r="D31" s="1">
        <v>50.4</v>
      </c>
    </row>
    <row r="32" spans="1:16" x14ac:dyDescent="0.3">
      <c r="B32" s="20" t="s">
        <v>20</v>
      </c>
      <c r="C32" s="1">
        <v>0</v>
      </c>
      <c r="D32" s="1">
        <v>196.76999999999998</v>
      </c>
    </row>
    <row r="33" spans="2:4" x14ac:dyDescent="0.3">
      <c r="B33" s="20" t="s">
        <v>25</v>
      </c>
      <c r="C33" s="1">
        <v>0</v>
      </c>
      <c r="D33" s="1">
        <v>3.83</v>
      </c>
    </row>
    <row r="34" spans="2:4" x14ac:dyDescent="0.3">
      <c r="B34" s="20" t="s">
        <v>31</v>
      </c>
      <c r="C34" s="1">
        <v>0</v>
      </c>
      <c r="D34" s="1">
        <v>20</v>
      </c>
    </row>
    <row r="35" spans="2:4" x14ac:dyDescent="0.3">
      <c r="B35" s="20" t="s">
        <v>34</v>
      </c>
      <c r="C35" s="1">
        <v>0</v>
      </c>
      <c r="D35" s="1">
        <v>25</v>
      </c>
    </row>
    <row r="36" spans="2:4" x14ac:dyDescent="0.3">
      <c r="B36" s="20" t="s">
        <v>36</v>
      </c>
      <c r="C36" s="1">
        <v>34.67</v>
      </c>
      <c r="D36" s="1">
        <v>22.939999999999998</v>
      </c>
    </row>
    <row r="37" spans="2:4" x14ac:dyDescent="0.3">
      <c r="B37" s="20" t="s">
        <v>39</v>
      </c>
      <c r="C37" s="1">
        <v>0</v>
      </c>
      <c r="D37" s="1">
        <v>14.55</v>
      </c>
    </row>
    <row r="38" spans="2:4" x14ac:dyDescent="0.3">
      <c r="B38" s="20" t="s">
        <v>41</v>
      </c>
      <c r="C38" s="1">
        <v>0</v>
      </c>
      <c r="D38" s="1">
        <v>42.78</v>
      </c>
    </row>
    <row r="39" spans="2:4" x14ac:dyDescent="0.3">
      <c r="B39" s="20" t="s">
        <v>49</v>
      </c>
      <c r="C39" s="1">
        <v>0</v>
      </c>
      <c r="D39" s="1">
        <v>5.12</v>
      </c>
    </row>
    <row r="40" spans="2:4" x14ac:dyDescent="0.3">
      <c r="B40" s="20" t="s">
        <v>52</v>
      </c>
      <c r="C40" s="1">
        <v>0</v>
      </c>
      <c r="D40" s="1">
        <v>59.510000000000005</v>
      </c>
    </row>
    <row r="41" spans="2:4" x14ac:dyDescent="0.3">
      <c r="B41" s="20" t="s">
        <v>56</v>
      </c>
      <c r="C41" s="1">
        <v>0</v>
      </c>
      <c r="D41" s="1">
        <v>25</v>
      </c>
    </row>
    <row r="42" spans="2:4" x14ac:dyDescent="0.3">
      <c r="B42" s="20" t="s">
        <v>93</v>
      </c>
      <c r="C42" s="1">
        <v>34.67</v>
      </c>
      <c r="D42" s="1">
        <v>465.9</v>
      </c>
    </row>
  </sheetData>
  <mergeCells count="5">
    <mergeCell ref="A1:H1"/>
    <mergeCell ref="I1:J1"/>
    <mergeCell ref="K1:L1"/>
    <mergeCell ref="M1:N1"/>
    <mergeCell ref="O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"/>
  <sheetViews>
    <sheetView workbookViewId="0"/>
  </sheetViews>
  <sheetFormatPr defaultRowHeight="14.4" x14ac:dyDescent="0.3"/>
  <cols>
    <col min="2" max="2" width="16.88671875" bestFit="1" customWidth="1"/>
    <col min="3" max="3" width="6.5546875" bestFit="1" customWidth="1"/>
    <col min="4" max="4" width="10.44140625" bestFit="1" customWidth="1"/>
  </cols>
  <sheetData>
    <row r="1" spans="1:16" x14ac:dyDescent="0.3">
      <c r="A1" s="15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  <c r="H1" s="17" t="s">
        <v>0</v>
      </c>
      <c r="I1" s="15" t="s">
        <v>1</v>
      </c>
      <c r="J1" s="17" t="s">
        <v>0</v>
      </c>
      <c r="K1" s="15" t="s">
        <v>2</v>
      </c>
      <c r="L1" s="17" t="s">
        <v>0</v>
      </c>
      <c r="M1" s="15" t="s">
        <v>3</v>
      </c>
      <c r="N1" s="17" t="s">
        <v>0</v>
      </c>
      <c r="O1" s="15" t="s">
        <v>4</v>
      </c>
      <c r="P1" s="18"/>
    </row>
    <row r="2" spans="1:16" x14ac:dyDescent="0.3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8" t="s">
        <v>12</v>
      </c>
      <c r="I2" s="3" t="s">
        <v>13</v>
      </c>
      <c r="J2" s="8" t="s">
        <v>14</v>
      </c>
      <c r="K2" s="3" t="s">
        <v>13</v>
      </c>
      <c r="L2" s="8" t="s">
        <v>14</v>
      </c>
      <c r="M2" s="3" t="s">
        <v>13</v>
      </c>
      <c r="N2" s="8" t="s">
        <v>14</v>
      </c>
      <c r="O2" s="3" t="s">
        <v>13</v>
      </c>
      <c r="P2" s="8" t="s">
        <v>14</v>
      </c>
    </row>
    <row r="3" spans="1:16" x14ac:dyDescent="0.3">
      <c r="A3" s="4" t="s">
        <v>61</v>
      </c>
      <c r="B3" t="s">
        <v>62</v>
      </c>
      <c r="C3" t="s">
        <v>0</v>
      </c>
      <c r="D3" t="s">
        <v>63</v>
      </c>
      <c r="E3" s="1">
        <v>443.13</v>
      </c>
      <c r="F3" t="s">
        <v>14</v>
      </c>
      <c r="G3" t="s">
        <v>14</v>
      </c>
      <c r="H3" s="9" t="s">
        <v>64</v>
      </c>
      <c r="I3" s="11">
        <v>0</v>
      </c>
      <c r="J3" s="13">
        <v>443.13</v>
      </c>
      <c r="K3" s="11">
        <v>0</v>
      </c>
      <c r="L3" s="13">
        <v>0</v>
      </c>
      <c r="M3" s="11">
        <v>0</v>
      </c>
      <c r="N3" s="13">
        <v>443.13</v>
      </c>
      <c r="O3" s="11">
        <v>0</v>
      </c>
      <c r="P3" s="13">
        <v>443.13</v>
      </c>
    </row>
    <row r="4" spans="1:16" x14ac:dyDescent="0.3">
      <c r="A4" s="4" t="s">
        <v>65</v>
      </c>
      <c r="B4" t="s">
        <v>66</v>
      </c>
      <c r="C4" t="s">
        <v>0</v>
      </c>
      <c r="D4" t="s">
        <v>67</v>
      </c>
      <c r="E4" s="1">
        <v>2610.3000000000002</v>
      </c>
      <c r="F4" t="s">
        <v>14</v>
      </c>
      <c r="G4" t="s">
        <v>14</v>
      </c>
      <c r="H4" s="9" t="s">
        <v>0</v>
      </c>
      <c r="I4" s="11">
        <v>0</v>
      </c>
      <c r="J4" s="13">
        <v>2610.3000000000002</v>
      </c>
      <c r="K4" s="11">
        <v>0</v>
      </c>
      <c r="L4" s="13">
        <v>0</v>
      </c>
      <c r="M4" s="11">
        <v>0</v>
      </c>
      <c r="N4" s="13">
        <v>3053.43</v>
      </c>
      <c r="O4" s="11">
        <v>0</v>
      </c>
      <c r="P4" s="13">
        <v>3053.43</v>
      </c>
    </row>
    <row r="5" spans="1:16" x14ac:dyDescent="0.3">
      <c r="A5" s="4" t="s">
        <v>33</v>
      </c>
      <c r="B5" t="s">
        <v>66</v>
      </c>
      <c r="C5" t="s">
        <v>0</v>
      </c>
      <c r="D5" t="s">
        <v>68</v>
      </c>
      <c r="E5" s="1">
        <v>-2950</v>
      </c>
      <c r="F5" t="s">
        <v>14</v>
      </c>
      <c r="G5" t="s">
        <v>14</v>
      </c>
      <c r="H5" s="9" t="s">
        <v>0</v>
      </c>
      <c r="I5" s="11">
        <v>0</v>
      </c>
      <c r="J5" s="13">
        <v>-2950</v>
      </c>
      <c r="K5" s="11">
        <v>0</v>
      </c>
      <c r="L5" s="13">
        <v>0</v>
      </c>
      <c r="M5" s="11">
        <v>0</v>
      </c>
      <c r="N5" s="13">
        <v>103.43</v>
      </c>
      <c r="O5" s="11">
        <v>0</v>
      </c>
      <c r="P5" s="13">
        <v>103.43</v>
      </c>
    </row>
    <row r="6" spans="1:16" x14ac:dyDescent="0.3">
      <c r="A6" s="5" t="s">
        <v>58</v>
      </c>
      <c r="B6" s="6" t="s">
        <v>66</v>
      </c>
      <c r="C6" s="6" t="s">
        <v>0</v>
      </c>
      <c r="D6" s="6" t="s">
        <v>69</v>
      </c>
      <c r="E6" s="7">
        <v>3000</v>
      </c>
      <c r="F6" s="6" t="s">
        <v>14</v>
      </c>
      <c r="G6" s="6" t="s">
        <v>14</v>
      </c>
      <c r="H6" s="10" t="s">
        <v>0</v>
      </c>
      <c r="I6" s="12">
        <v>0</v>
      </c>
      <c r="J6" s="14">
        <v>3000</v>
      </c>
      <c r="K6" s="12">
        <v>0</v>
      </c>
      <c r="L6" s="14">
        <v>0</v>
      </c>
      <c r="M6" s="12">
        <v>0</v>
      </c>
      <c r="N6" s="14">
        <v>3103.43</v>
      </c>
      <c r="O6" s="12">
        <v>0</v>
      </c>
      <c r="P6" s="14">
        <v>3103.43</v>
      </c>
    </row>
    <row r="8" spans="1:16" x14ac:dyDescent="0.3">
      <c r="C8" s="19" t="s">
        <v>91</v>
      </c>
    </row>
    <row r="9" spans="1:16" x14ac:dyDescent="0.3">
      <c r="B9" s="19" t="s">
        <v>92</v>
      </c>
      <c r="C9" t="s">
        <v>13</v>
      </c>
      <c r="D9" t="s">
        <v>14</v>
      </c>
    </row>
    <row r="10" spans="1:16" x14ac:dyDescent="0.3">
      <c r="B10" s="20" t="s">
        <v>62</v>
      </c>
      <c r="C10" s="1">
        <v>0</v>
      </c>
      <c r="D10" s="1">
        <v>443.13</v>
      </c>
    </row>
    <row r="11" spans="1:16" x14ac:dyDescent="0.3">
      <c r="B11" s="20" t="s">
        <v>66</v>
      </c>
      <c r="C11" s="1">
        <v>0</v>
      </c>
      <c r="D11" s="1">
        <v>2660.3</v>
      </c>
    </row>
    <row r="12" spans="1:16" x14ac:dyDescent="0.3">
      <c r="B12" s="20" t="s">
        <v>93</v>
      </c>
      <c r="C12" s="1">
        <v>0</v>
      </c>
      <c r="D12" s="1">
        <v>3103.4300000000003</v>
      </c>
    </row>
  </sheetData>
  <mergeCells count="5">
    <mergeCell ref="A1:H1"/>
    <mergeCell ref="I1:J1"/>
    <mergeCell ref="K1:L1"/>
    <mergeCell ref="M1:N1"/>
    <mergeCell ref="O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"/>
  <sheetViews>
    <sheetView workbookViewId="0"/>
  </sheetViews>
  <sheetFormatPr defaultRowHeight="14.4" x14ac:dyDescent="0.3"/>
  <cols>
    <col min="2" max="2" width="16.44140625" bestFit="1" customWidth="1"/>
    <col min="3" max="3" width="6.5546875" bestFit="1" customWidth="1"/>
  </cols>
  <sheetData>
    <row r="1" spans="1:16" x14ac:dyDescent="0.3">
      <c r="A1" s="15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  <c r="H1" s="17" t="s">
        <v>0</v>
      </c>
      <c r="I1" s="15" t="s">
        <v>1</v>
      </c>
      <c r="J1" s="17" t="s">
        <v>0</v>
      </c>
      <c r="K1" s="15" t="s">
        <v>2</v>
      </c>
      <c r="L1" s="17" t="s">
        <v>0</v>
      </c>
      <c r="M1" s="15" t="s">
        <v>3</v>
      </c>
      <c r="N1" s="17" t="s">
        <v>0</v>
      </c>
      <c r="O1" s="15" t="s">
        <v>4</v>
      </c>
      <c r="P1" s="18"/>
    </row>
    <row r="2" spans="1:16" x14ac:dyDescent="0.3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8" t="s">
        <v>12</v>
      </c>
      <c r="I2" s="3" t="s">
        <v>13</v>
      </c>
      <c r="J2" s="8" t="s">
        <v>14</v>
      </c>
      <c r="K2" s="3" t="s">
        <v>13</v>
      </c>
      <c r="L2" s="8" t="s">
        <v>14</v>
      </c>
      <c r="M2" s="3" t="s">
        <v>13</v>
      </c>
      <c r="N2" s="8" t="s">
        <v>14</v>
      </c>
      <c r="O2" s="3" t="s">
        <v>13</v>
      </c>
      <c r="P2" s="8" t="s">
        <v>14</v>
      </c>
    </row>
    <row r="3" spans="1:16" x14ac:dyDescent="0.3">
      <c r="A3" s="4" t="s">
        <v>61</v>
      </c>
      <c r="B3" t="s">
        <v>36</v>
      </c>
      <c r="C3" t="s">
        <v>0</v>
      </c>
      <c r="D3" t="s">
        <v>37</v>
      </c>
      <c r="E3" s="1">
        <v>14.42</v>
      </c>
      <c r="F3" t="s">
        <v>14</v>
      </c>
      <c r="G3" t="s">
        <v>14</v>
      </c>
      <c r="H3" s="9" t="s">
        <v>70</v>
      </c>
      <c r="I3" s="11">
        <v>0</v>
      </c>
      <c r="J3" s="13">
        <v>14.42</v>
      </c>
      <c r="K3" s="11">
        <v>0</v>
      </c>
      <c r="L3" s="13">
        <v>0</v>
      </c>
      <c r="M3" s="11">
        <v>0</v>
      </c>
      <c r="N3" s="13">
        <v>14.42</v>
      </c>
      <c r="O3" s="11">
        <v>0</v>
      </c>
      <c r="P3" s="13">
        <v>14.42</v>
      </c>
    </row>
    <row r="4" spans="1:16" x14ac:dyDescent="0.3">
      <c r="A4" s="4" t="s">
        <v>15</v>
      </c>
      <c r="B4" t="s">
        <v>36</v>
      </c>
      <c r="C4" t="s">
        <v>0</v>
      </c>
      <c r="D4" t="s">
        <v>71</v>
      </c>
      <c r="E4" s="1">
        <v>35.08</v>
      </c>
      <c r="F4" t="s">
        <v>14</v>
      </c>
      <c r="G4" t="s">
        <v>14</v>
      </c>
      <c r="H4" s="9" t="s">
        <v>0</v>
      </c>
      <c r="I4" s="11">
        <v>0</v>
      </c>
      <c r="J4" s="13">
        <v>35.08</v>
      </c>
      <c r="K4" s="11">
        <v>0</v>
      </c>
      <c r="L4" s="13">
        <v>0</v>
      </c>
      <c r="M4" s="11">
        <v>0</v>
      </c>
      <c r="N4" s="13">
        <v>49.5</v>
      </c>
      <c r="O4" s="11">
        <v>0</v>
      </c>
      <c r="P4" s="13">
        <v>49.5</v>
      </c>
    </row>
    <row r="5" spans="1:16" x14ac:dyDescent="0.3">
      <c r="A5" s="4" t="s">
        <v>15</v>
      </c>
      <c r="B5" t="s">
        <v>25</v>
      </c>
      <c r="C5" t="s">
        <v>0</v>
      </c>
      <c r="D5" t="s">
        <v>72</v>
      </c>
      <c r="E5" s="1">
        <v>7.62</v>
      </c>
      <c r="F5" t="s">
        <v>14</v>
      </c>
      <c r="G5" t="s">
        <v>14</v>
      </c>
      <c r="H5" s="9" t="s">
        <v>0</v>
      </c>
      <c r="I5" s="11">
        <v>0</v>
      </c>
      <c r="J5" s="13">
        <v>7.62</v>
      </c>
      <c r="K5" s="11">
        <v>0</v>
      </c>
      <c r="L5" s="13">
        <v>0</v>
      </c>
      <c r="M5" s="11">
        <v>0</v>
      </c>
      <c r="N5" s="13">
        <v>57.12</v>
      </c>
      <c r="O5" s="11">
        <v>0</v>
      </c>
      <c r="P5" s="13">
        <v>57.12</v>
      </c>
    </row>
    <row r="6" spans="1:16" x14ac:dyDescent="0.3">
      <c r="A6" s="4" t="s">
        <v>15</v>
      </c>
      <c r="B6" t="s">
        <v>25</v>
      </c>
      <c r="C6" t="s">
        <v>0</v>
      </c>
      <c r="D6" t="s">
        <v>72</v>
      </c>
      <c r="E6" s="1">
        <v>4.3</v>
      </c>
      <c r="F6" t="s">
        <v>14</v>
      </c>
      <c r="G6" t="s">
        <v>14</v>
      </c>
      <c r="H6" s="9" t="s">
        <v>0</v>
      </c>
      <c r="I6" s="11">
        <v>0</v>
      </c>
      <c r="J6" s="13">
        <v>4.3</v>
      </c>
      <c r="K6" s="11">
        <v>0</v>
      </c>
      <c r="L6" s="13">
        <v>0</v>
      </c>
      <c r="M6" s="11">
        <v>0</v>
      </c>
      <c r="N6" s="13">
        <v>61.42</v>
      </c>
      <c r="O6" s="11">
        <v>0</v>
      </c>
      <c r="P6" s="13">
        <v>61.42</v>
      </c>
    </row>
    <row r="7" spans="1:16" x14ac:dyDescent="0.3">
      <c r="A7" s="4" t="s">
        <v>33</v>
      </c>
      <c r="B7" t="s">
        <v>25</v>
      </c>
      <c r="C7" t="s">
        <v>0</v>
      </c>
      <c r="D7" t="s">
        <v>72</v>
      </c>
      <c r="E7" s="1">
        <v>4.3</v>
      </c>
      <c r="F7" t="s">
        <v>14</v>
      </c>
      <c r="G7" t="s">
        <v>14</v>
      </c>
      <c r="H7" s="9" t="s">
        <v>0</v>
      </c>
      <c r="I7" s="11">
        <v>0</v>
      </c>
      <c r="J7" s="13">
        <v>4.3</v>
      </c>
      <c r="K7" s="11">
        <v>0</v>
      </c>
      <c r="L7" s="13">
        <v>0</v>
      </c>
      <c r="M7" s="11">
        <v>0</v>
      </c>
      <c r="N7" s="13">
        <v>65.72</v>
      </c>
      <c r="O7" s="11">
        <v>0</v>
      </c>
      <c r="P7" s="13">
        <v>65.72</v>
      </c>
    </row>
    <row r="8" spans="1:16" x14ac:dyDescent="0.3">
      <c r="A8" s="4" t="s">
        <v>73</v>
      </c>
      <c r="B8" t="s">
        <v>36</v>
      </c>
      <c r="C8" t="s">
        <v>0</v>
      </c>
      <c r="D8" t="s">
        <v>74</v>
      </c>
      <c r="E8" s="1">
        <v>29.08</v>
      </c>
      <c r="F8" t="s">
        <v>14</v>
      </c>
      <c r="G8" t="s">
        <v>14</v>
      </c>
      <c r="H8" s="9" t="s">
        <v>0</v>
      </c>
      <c r="I8" s="11">
        <v>0</v>
      </c>
      <c r="J8" s="13">
        <v>29.08</v>
      </c>
      <c r="K8" s="11">
        <v>0</v>
      </c>
      <c r="L8" s="13">
        <v>0</v>
      </c>
      <c r="M8" s="11">
        <v>0</v>
      </c>
      <c r="N8" s="13">
        <v>94.8</v>
      </c>
      <c r="O8" s="11">
        <v>0</v>
      </c>
      <c r="P8" s="13">
        <v>94.8</v>
      </c>
    </row>
    <row r="9" spans="1:16" x14ac:dyDescent="0.3">
      <c r="A9" s="4" t="s">
        <v>73</v>
      </c>
      <c r="B9" t="s">
        <v>25</v>
      </c>
      <c r="C9" t="s">
        <v>0</v>
      </c>
      <c r="D9" t="s">
        <v>75</v>
      </c>
      <c r="E9" s="1">
        <v>3.97</v>
      </c>
      <c r="F9" t="s">
        <v>14</v>
      </c>
      <c r="G9" t="s">
        <v>14</v>
      </c>
      <c r="H9" s="9" t="s">
        <v>0</v>
      </c>
      <c r="I9" s="11">
        <v>0</v>
      </c>
      <c r="J9" s="13">
        <v>3.97</v>
      </c>
      <c r="K9" s="11">
        <v>0</v>
      </c>
      <c r="L9" s="13">
        <v>0</v>
      </c>
      <c r="M9" s="11">
        <v>0</v>
      </c>
      <c r="N9" s="13">
        <v>98.77</v>
      </c>
      <c r="O9" s="11">
        <v>0</v>
      </c>
      <c r="P9" s="13">
        <v>98.77</v>
      </c>
    </row>
    <row r="10" spans="1:16" x14ac:dyDescent="0.3">
      <c r="A10" s="4" t="s">
        <v>58</v>
      </c>
      <c r="B10" t="s">
        <v>25</v>
      </c>
      <c r="C10" t="s">
        <v>0</v>
      </c>
      <c r="D10" t="s">
        <v>76</v>
      </c>
      <c r="E10" s="1">
        <v>3.69</v>
      </c>
      <c r="F10" t="s">
        <v>14</v>
      </c>
      <c r="G10" t="s">
        <v>14</v>
      </c>
      <c r="H10" s="9" t="s">
        <v>0</v>
      </c>
      <c r="I10" s="11">
        <v>0</v>
      </c>
      <c r="J10" s="13">
        <v>3.69</v>
      </c>
      <c r="K10" s="11">
        <v>0</v>
      </c>
      <c r="L10" s="13">
        <v>0</v>
      </c>
      <c r="M10" s="11">
        <v>0</v>
      </c>
      <c r="N10" s="13">
        <v>102.46</v>
      </c>
      <c r="O10" s="11">
        <v>0</v>
      </c>
      <c r="P10" s="13">
        <v>102.46</v>
      </c>
    </row>
    <row r="11" spans="1:16" x14ac:dyDescent="0.3">
      <c r="A11" s="5" t="s">
        <v>58</v>
      </c>
      <c r="B11" s="6" t="s">
        <v>25</v>
      </c>
      <c r="C11" s="6" t="s">
        <v>0</v>
      </c>
      <c r="D11" s="6" t="s">
        <v>77</v>
      </c>
      <c r="E11" s="7">
        <v>4.25</v>
      </c>
      <c r="F11" s="6" t="s">
        <v>14</v>
      </c>
      <c r="G11" s="6" t="s">
        <v>14</v>
      </c>
      <c r="H11" s="10" t="s">
        <v>0</v>
      </c>
      <c r="I11" s="12">
        <v>0</v>
      </c>
      <c r="J11" s="14">
        <v>4.25</v>
      </c>
      <c r="K11" s="12">
        <v>0</v>
      </c>
      <c r="L11" s="14">
        <v>0</v>
      </c>
      <c r="M11" s="12">
        <v>0</v>
      </c>
      <c r="N11" s="14">
        <v>106.71</v>
      </c>
      <c r="O11" s="12">
        <v>0</v>
      </c>
      <c r="P11" s="14">
        <v>106.71</v>
      </c>
    </row>
    <row r="13" spans="1:16" x14ac:dyDescent="0.3">
      <c r="C13" s="19" t="s">
        <v>91</v>
      </c>
    </row>
    <row r="14" spans="1:16" x14ac:dyDescent="0.3">
      <c r="B14" s="19" t="s">
        <v>92</v>
      </c>
      <c r="C14" t="s">
        <v>13</v>
      </c>
      <c r="D14" t="s">
        <v>14</v>
      </c>
    </row>
    <row r="15" spans="1:16" x14ac:dyDescent="0.3">
      <c r="B15" s="20" t="s">
        <v>36</v>
      </c>
      <c r="C15" s="1">
        <v>0</v>
      </c>
      <c r="D15" s="1">
        <v>78.58</v>
      </c>
    </row>
    <row r="16" spans="1:16" x14ac:dyDescent="0.3">
      <c r="B16" s="20" t="s">
        <v>25</v>
      </c>
      <c r="C16" s="1">
        <v>0</v>
      </c>
      <c r="D16" s="1">
        <v>28.13</v>
      </c>
    </row>
    <row r="17" spans="2:4" x14ac:dyDescent="0.3">
      <c r="B17" s="20" t="s">
        <v>93</v>
      </c>
      <c r="C17" s="1">
        <v>0</v>
      </c>
      <c r="D17" s="1">
        <v>106.71</v>
      </c>
    </row>
  </sheetData>
  <mergeCells count="5">
    <mergeCell ref="A1:H1"/>
    <mergeCell ref="I1:J1"/>
    <mergeCell ref="K1:L1"/>
    <mergeCell ref="M1:N1"/>
    <mergeCell ref="O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"/>
  <sheetViews>
    <sheetView workbookViewId="0"/>
  </sheetViews>
  <sheetFormatPr defaultRowHeight="14.4" x14ac:dyDescent="0.3"/>
  <cols>
    <col min="2" max="2" width="20" bestFit="1" customWidth="1"/>
    <col min="3" max="3" width="7.88671875" bestFit="1" customWidth="1"/>
    <col min="4" max="4" width="6" bestFit="1" customWidth="1"/>
  </cols>
  <sheetData>
    <row r="1" spans="1:16" x14ac:dyDescent="0.3">
      <c r="A1" s="15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  <c r="H1" s="17" t="s">
        <v>0</v>
      </c>
      <c r="I1" s="15" t="s">
        <v>1</v>
      </c>
      <c r="J1" s="17" t="s">
        <v>0</v>
      </c>
      <c r="K1" s="15" t="s">
        <v>2</v>
      </c>
      <c r="L1" s="17" t="s">
        <v>0</v>
      </c>
      <c r="M1" s="15" t="s">
        <v>3</v>
      </c>
      <c r="N1" s="17" t="s">
        <v>0</v>
      </c>
      <c r="O1" s="15" t="s">
        <v>4</v>
      </c>
      <c r="P1" s="18"/>
    </row>
    <row r="2" spans="1:16" x14ac:dyDescent="0.3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8" t="s">
        <v>12</v>
      </c>
      <c r="I2" s="3" t="s">
        <v>13</v>
      </c>
      <c r="J2" s="8" t="s">
        <v>14</v>
      </c>
      <c r="K2" s="3" t="s">
        <v>13</v>
      </c>
      <c r="L2" s="8" t="s">
        <v>14</v>
      </c>
      <c r="M2" s="3" t="s">
        <v>13</v>
      </c>
      <c r="N2" s="8" t="s">
        <v>14</v>
      </c>
      <c r="O2" s="3" t="s">
        <v>13</v>
      </c>
      <c r="P2" s="8" t="s">
        <v>14</v>
      </c>
    </row>
    <row r="3" spans="1:16" x14ac:dyDescent="0.3">
      <c r="A3" s="4" t="s">
        <v>28</v>
      </c>
      <c r="B3" t="s">
        <v>52</v>
      </c>
      <c r="C3" t="s">
        <v>0</v>
      </c>
      <c r="D3" t="s">
        <v>78</v>
      </c>
      <c r="E3" s="1">
        <v>15.99</v>
      </c>
      <c r="F3" t="s">
        <v>14</v>
      </c>
      <c r="G3" t="s">
        <v>13</v>
      </c>
      <c r="H3" s="9" t="s">
        <v>79</v>
      </c>
      <c r="I3" s="11">
        <v>15.99</v>
      </c>
      <c r="J3" s="13">
        <v>0</v>
      </c>
      <c r="K3" s="11">
        <v>-15.99</v>
      </c>
      <c r="L3" s="13">
        <v>15.99</v>
      </c>
      <c r="M3" s="11">
        <v>15.99</v>
      </c>
      <c r="N3" s="13">
        <v>0</v>
      </c>
      <c r="O3" s="11">
        <v>0</v>
      </c>
      <c r="P3" s="13">
        <v>15.99</v>
      </c>
    </row>
    <row r="4" spans="1:16" x14ac:dyDescent="0.3">
      <c r="A4" s="4" t="s">
        <v>38</v>
      </c>
      <c r="B4" t="s">
        <v>39</v>
      </c>
      <c r="C4" t="s">
        <v>0</v>
      </c>
      <c r="D4" t="s">
        <v>80</v>
      </c>
      <c r="E4" s="1">
        <v>3</v>
      </c>
      <c r="F4" t="s">
        <v>14</v>
      </c>
      <c r="G4" t="s">
        <v>13</v>
      </c>
      <c r="H4" s="9" t="s">
        <v>0</v>
      </c>
      <c r="I4" s="11">
        <v>3</v>
      </c>
      <c r="J4" s="13">
        <v>0</v>
      </c>
      <c r="K4" s="11">
        <v>-18.989999999999998</v>
      </c>
      <c r="L4" s="13">
        <v>18.989999999999998</v>
      </c>
      <c r="M4" s="11">
        <v>18.989999999999998</v>
      </c>
      <c r="N4" s="13">
        <v>0</v>
      </c>
      <c r="O4" s="11">
        <v>0</v>
      </c>
      <c r="P4" s="13">
        <v>18.989999999999998</v>
      </c>
    </row>
    <row r="5" spans="1:16" x14ac:dyDescent="0.3">
      <c r="A5" s="5" t="s">
        <v>38</v>
      </c>
      <c r="B5" s="6" t="s">
        <v>39</v>
      </c>
      <c r="C5" s="6" t="s">
        <v>0</v>
      </c>
      <c r="D5" s="6" t="s">
        <v>80</v>
      </c>
      <c r="E5" s="7">
        <v>3</v>
      </c>
      <c r="F5" s="6" t="s">
        <v>14</v>
      </c>
      <c r="G5" s="6" t="s">
        <v>13</v>
      </c>
      <c r="H5" s="10" t="s">
        <v>0</v>
      </c>
      <c r="I5" s="12">
        <v>3</v>
      </c>
      <c r="J5" s="14">
        <v>0</v>
      </c>
      <c r="K5" s="12">
        <v>-21.99</v>
      </c>
      <c r="L5" s="14">
        <v>21.99</v>
      </c>
      <c r="M5" s="12">
        <v>21.99</v>
      </c>
      <c r="N5" s="14">
        <v>0</v>
      </c>
      <c r="O5" s="12">
        <v>0</v>
      </c>
      <c r="P5" s="14">
        <v>21.99</v>
      </c>
    </row>
    <row r="7" spans="1:16" x14ac:dyDescent="0.3">
      <c r="C7" s="19" t="s">
        <v>91</v>
      </c>
    </row>
    <row r="8" spans="1:16" x14ac:dyDescent="0.3">
      <c r="B8" s="19" t="s">
        <v>92</v>
      </c>
      <c r="C8" t="s">
        <v>13</v>
      </c>
      <c r="D8" t="s">
        <v>14</v>
      </c>
    </row>
    <row r="9" spans="1:16" x14ac:dyDescent="0.3">
      <c r="B9" s="20" t="s">
        <v>52</v>
      </c>
      <c r="C9" s="1">
        <v>15.99</v>
      </c>
      <c r="D9" s="1">
        <v>0</v>
      </c>
    </row>
    <row r="10" spans="1:16" x14ac:dyDescent="0.3">
      <c r="B10" s="20" t="s">
        <v>39</v>
      </c>
      <c r="C10" s="1">
        <v>6</v>
      </c>
      <c r="D10" s="1">
        <v>0</v>
      </c>
    </row>
    <row r="11" spans="1:16" x14ac:dyDescent="0.3">
      <c r="B11" s="20" t="s">
        <v>93</v>
      </c>
      <c r="C11" s="1">
        <v>21.990000000000002</v>
      </c>
      <c r="D11" s="1">
        <v>0</v>
      </c>
    </row>
  </sheetData>
  <mergeCells count="5">
    <mergeCell ref="A1:H1"/>
    <mergeCell ref="I1:J1"/>
    <mergeCell ref="K1:L1"/>
    <mergeCell ref="M1:N1"/>
    <mergeCell ref="O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4" width="7.88671875" bestFit="1" customWidth="1"/>
  </cols>
  <sheetData>
    <row r="1" spans="1:16" x14ac:dyDescent="0.3">
      <c r="A1" s="15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  <c r="H1" s="17" t="s">
        <v>0</v>
      </c>
      <c r="I1" s="15" t="s">
        <v>1</v>
      </c>
      <c r="J1" s="17" t="s">
        <v>0</v>
      </c>
      <c r="K1" s="15" t="s">
        <v>2</v>
      </c>
      <c r="L1" s="17" t="s">
        <v>0</v>
      </c>
      <c r="M1" s="15" t="s">
        <v>3</v>
      </c>
      <c r="N1" s="17" t="s">
        <v>0</v>
      </c>
      <c r="O1" s="15" t="s">
        <v>4</v>
      </c>
      <c r="P1" s="18"/>
    </row>
    <row r="2" spans="1:16" x14ac:dyDescent="0.3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8" t="s">
        <v>12</v>
      </c>
      <c r="I2" s="3" t="s">
        <v>13</v>
      </c>
      <c r="J2" s="8" t="s">
        <v>14</v>
      </c>
      <c r="K2" s="3" t="s">
        <v>13</v>
      </c>
      <c r="L2" s="8" t="s">
        <v>14</v>
      </c>
      <c r="M2" s="3" t="s">
        <v>13</v>
      </c>
      <c r="N2" s="8" t="s">
        <v>14</v>
      </c>
      <c r="O2" s="3" t="s">
        <v>13</v>
      </c>
      <c r="P2" s="8" t="s">
        <v>14</v>
      </c>
    </row>
    <row r="3" spans="1:16" x14ac:dyDescent="0.3">
      <c r="A3" s="5" t="s">
        <v>55</v>
      </c>
      <c r="B3" s="6" t="s">
        <v>81</v>
      </c>
      <c r="C3" s="6" t="s">
        <v>0</v>
      </c>
      <c r="D3" s="6" t="s">
        <v>82</v>
      </c>
      <c r="E3" s="7">
        <v>75.5</v>
      </c>
      <c r="F3" s="6" t="s">
        <v>14</v>
      </c>
      <c r="G3" s="6" t="s">
        <v>14</v>
      </c>
      <c r="H3" s="10" t="s">
        <v>83</v>
      </c>
      <c r="I3" s="12">
        <v>0</v>
      </c>
      <c r="J3" s="14">
        <v>75.5</v>
      </c>
      <c r="K3" s="12">
        <v>0</v>
      </c>
      <c r="L3" s="14">
        <v>0</v>
      </c>
      <c r="M3" s="12">
        <v>0</v>
      </c>
      <c r="N3" s="14">
        <v>75.5</v>
      </c>
      <c r="O3" s="12">
        <v>0</v>
      </c>
      <c r="P3" s="14">
        <v>75.5</v>
      </c>
    </row>
    <row r="5" spans="1:16" x14ac:dyDescent="0.3">
      <c r="C5" s="19" t="s">
        <v>91</v>
      </c>
    </row>
    <row r="6" spans="1:16" x14ac:dyDescent="0.3">
      <c r="B6" s="19" t="s">
        <v>92</v>
      </c>
      <c r="C6" t="s">
        <v>13</v>
      </c>
      <c r="D6" t="s">
        <v>14</v>
      </c>
    </row>
    <row r="7" spans="1:16" x14ac:dyDescent="0.3">
      <c r="B7" s="20" t="s">
        <v>81</v>
      </c>
      <c r="C7" s="1">
        <v>0</v>
      </c>
      <c r="D7" s="1">
        <v>75.5</v>
      </c>
    </row>
    <row r="8" spans="1:16" x14ac:dyDescent="0.3">
      <c r="B8" s="20" t="s">
        <v>93</v>
      </c>
      <c r="C8" s="1">
        <v>0</v>
      </c>
      <c r="D8" s="1">
        <v>75.5</v>
      </c>
    </row>
  </sheetData>
  <mergeCells count="5">
    <mergeCell ref="A1:H1"/>
    <mergeCell ref="I1:J1"/>
    <mergeCell ref="K1:L1"/>
    <mergeCell ref="M1:N1"/>
    <mergeCell ref="O1:P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2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4" width="11.44140625" bestFit="1" customWidth="1"/>
  </cols>
  <sheetData>
    <row r="1" spans="1:16" x14ac:dyDescent="0.3">
      <c r="A1" s="15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  <c r="H1" s="17" t="s">
        <v>0</v>
      </c>
      <c r="I1" s="15" t="s">
        <v>1</v>
      </c>
      <c r="J1" s="17" t="s">
        <v>0</v>
      </c>
      <c r="K1" s="15" t="s">
        <v>2</v>
      </c>
      <c r="L1" s="17" t="s">
        <v>0</v>
      </c>
      <c r="M1" s="15" t="s">
        <v>3</v>
      </c>
      <c r="N1" s="17" t="s">
        <v>0</v>
      </c>
      <c r="O1" s="15" t="s">
        <v>4</v>
      </c>
      <c r="P1" s="18"/>
    </row>
    <row r="2" spans="1:16" x14ac:dyDescent="0.3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8" t="s">
        <v>12</v>
      </c>
      <c r="I2" s="3" t="s">
        <v>13</v>
      </c>
      <c r="J2" s="8" t="s">
        <v>14</v>
      </c>
      <c r="K2" s="3" t="s">
        <v>13</v>
      </c>
      <c r="L2" s="8" t="s">
        <v>14</v>
      </c>
      <c r="M2" s="3" t="s">
        <v>13</v>
      </c>
      <c r="N2" s="8" t="s">
        <v>14</v>
      </c>
      <c r="O2" s="3" t="s">
        <v>13</v>
      </c>
      <c r="P2" s="8" t="s">
        <v>14</v>
      </c>
    </row>
    <row r="3" spans="1:16" x14ac:dyDescent="0.3">
      <c r="A3" s="4" t="s">
        <v>51</v>
      </c>
      <c r="B3" t="s">
        <v>84</v>
      </c>
      <c r="C3" t="s">
        <v>0</v>
      </c>
      <c r="D3" t="s">
        <v>85</v>
      </c>
      <c r="E3" s="1">
        <v>320</v>
      </c>
      <c r="F3" t="s">
        <v>14</v>
      </c>
      <c r="G3" t="s">
        <v>14</v>
      </c>
      <c r="H3" s="9" t="s">
        <v>86</v>
      </c>
      <c r="I3" s="11">
        <v>0</v>
      </c>
      <c r="J3" s="13">
        <v>320</v>
      </c>
      <c r="K3" s="11">
        <v>0</v>
      </c>
      <c r="L3" s="13">
        <v>0</v>
      </c>
      <c r="M3" s="11">
        <v>0</v>
      </c>
      <c r="N3" s="13">
        <v>320</v>
      </c>
      <c r="O3" s="11">
        <v>0</v>
      </c>
      <c r="P3" s="13">
        <v>320</v>
      </c>
    </row>
    <row r="4" spans="1:16" x14ac:dyDescent="0.3">
      <c r="A4" s="4" t="s">
        <v>58</v>
      </c>
      <c r="B4" t="s">
        <v>87</v>
      </c>
      <c r="C4" t="s">
        <v>0</v>
      </c>
      <c r="D4" t="s">
        <v>88</v>
      </c>
      <c r="E4" s="1">
        <v>2549</v>
      </c>
      <c r="F4" t="s">
        <v>14</v>
      </c>
      <c r="G4" t="s">
        <v>14</v>
      </c>
      <c r="H4" s="9" t="s">
        <v>0</v>
      </c>
      <c r="I4" s="11">
        <v>0</v>
      </c>
      <c r="J4" s="13">
        <v>2549</v>
      </c>
      <c r="K4" s="11">
        <v>0</v>
      </c>
      <c r="L4" s="13">
        <v>0</v>
      </c>
      <c r="M4" s="11">
        <v>0</v>
      </c>
      <c r="N4" s="13">
        <v>2869</v>
      </c>
      <c r="O4" s="11">
        <v>0</v>
      </c>
      <c r="P4" s="13">
        <v>2869</v>
      </c>
    </row>
    <row r="5" spans="1:16" x14ac:dyDescent="0.3">
      <c r="A5" s="5" t="s">
        <v>58</v>
      </c>
      <c r="B5" s="6" t="s">
        <v>89</v>
      </c>
      <c r="C5" s="6" t="s">
        <v>0</v>
      </c>
      <c r="D5" s="6" t="s">
        <v>90</v>
      </c>
      <c r="E5" s="7">
        <v>7513</v>
      </c>
      <c r="F5" s="6" t="s">
        <v>14</v>
      </c>
      <c r="G5" s="6" t="s">
        <v>14</v>
      </c>
      <c r="H5" s="10" t="s">
        <v>0</v>
      </c>
      <c r="I5" s="12">
        <v>0</v>
      </c>
      <c r="J5" s="14">
        <v>7513</v>
      </c>
      <c r="K5" s="12">
        <v>0</v>
      </c>
      <c r="L5" s="14">
        <v>0</v>
      </c>
      <c r="M5" s="12">
        <v>0</v>
      </c>
      <c r="N5" s="14">
        <v>10382</v>
      </c>
      <c r="O5" s="12">
        <v>0</v>
      </c>
      <c r="P5" s="14">
        <v>10382</v>
      </c>
    </row>
    <row r="7" spans="1:16" x14ac:dyDescent="0.3">
      <c r="C7" s="19" t="s">
        <v>91</v>
      </c>
    </row>
    <row r="8" spans="1:16" x14ac:dyDescent="0.3">
      <c r="B8" s="19" t="s">
        <v>92</v>
      </c>
      <c r="C8" t="s">
        <v>13</v>
      </c>
      <c r="D8" t="s">
        <v>14</v>
      </c>
    </row>
    <row r="9" spans="1:16" x14ac:dyDescent="0.3">
      <c r="B9" s="20" t="s">
        <v>84</v>
      </c>
      <c r="C9" s="1">
        <v>0</v>
      </c>
      <c r="D9" s="1">
        <v>320</v>
      </c>
    </row>
    <row r="10" spans="1:16" x14ac:dyDescent="0.3">
      <c r="B10" s="20" t="s">
        <v>87</v>
      </c>
      <c r="C10" s="1">
        <v>0</v>
      </c>
      <c r="D10" s="1">
        <v>2549</v>
      </c>
    </row>
    <row r="11" spans="1:16" x14ac:dyDescent="0.3">
      <c r="B11" s="20" t="s">
        <v>89</v>
      </c>
      <c r="C11" s="1">
        <v>0</v>
      </c>
      <c r="D11" s="1">
        <v>7513</v>
      </c>
    </row>
    <row r="12" spans="1:16" x14ac:dyDescent="0.3">
      <c r="B12" s="20" t="s">
        <v>93</v>
      </c>
      <c r="C12" s="1">
        <v>0</v>
      </c>
      <c r="D12" s="1">
        <v>10382</v>
      </c>
    </row>
  </sheetData>
  <mergeCells count="5">
    <mergeCell ref="A1:H1"/>
    <mergeCell ref="I1:J1"/>
    <mergeCell ref="K1:L1"/>
    <mergeCell ref="M1:N1"/>
    <mergeCell ref="O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default</vt:lpstr>
      <vt:lpstr>420.madison</vt:lpstr>
      <vt:lpstr>broadridge.return</vt:lpstr>
      <vt:lpstr>invictus</vt:lpstr>
      <vt:lpstr>saluzinho</vt:lpstr>
      <vt:lpstr>taxes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Nazareth, John</cp:lastModifiedBy>
  <dcterms:created xsi:type="dcterms:W3CDTF">2025-05-26T14:29:50Z</dcterms:created>
  <dcterms:modified xsi:type="dcterms:W3CDTF">2025-05-26T14:30:23Z</dcterms:modified>
</cp:coreProperties>
</file>