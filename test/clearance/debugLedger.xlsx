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ethJ\OneDrive - Broadridge Financial Solutions, Inc\personal\projects\gp\GP2\test\clearance\"/>
    </mc:Choice>
  </mc:AlternateContent>
  <xr:revisionPtr revIDLastSave="0" documentId="13_ncr:1_{D5C885D5-023E-4100-896E-04F9F7DEF156}" xr6:coauthVersionLast="47" xr6:coauthVersionMax="47" xr10:uidLastSave="{00000000-0000-0000-0000-000000000000}"/>
  <bookViews>
    <workbookView xWindow="8292" yWindow="708" windowWidth="14976" windowHeight="12156" activeTab="1" xr2:uid="{6213871E-3A1D-46B0-865A-38EC235FB3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A3" i="2"/>
  <c r="T46" i="1"/>
  <c r="Q46" i="1"/>
  <c r="N46" i="1"/>
  <c r="Q21" i="1"/>
  <c r="O9" i="1"/>
  <c r="R33" i="1"/>
  <c r="O33" i="1"/>
  <c r="L33" i="1"/>
  <c r="N5" i="1"/>
  <c r="T5" i="1"/>
  <c r="R4" i="1"/>
  <c r="K5" i="1"/>
  <c r="L4" i="1"/>
</calcChain>
</file>

<file path=xl/sharedStrings.xml><?xml version="1.0" encoding="utf-8"?>
<sst xmlns="http://schemas.openxmlformats.org/spreadsheetml/2006/main" count="107" uniqueCount="60">
  <si>
    <t/>
  </si>
  <si>
    <t>transaction amounts</t>
  </si>
  <si>
    <t>(you owe) / owed to you</t>
  </si>
  <si>
    <t>individual "spent"</t>
  </si>
  <si>
    <t>individual "paid"</t>
  </si>
  <si>
    <t>cs(IndividualTotals)</t>
  </si>
  <si>
    <t>Item</t>
  </si>
  <si>
    <t>Category</t>
  </si>
  <si>
    <t>Vendor</t>
  </si>
  <si>
    <t>Description</t>
  </si>
  <si>
    <t>Amount</t>
  </si>
  <si>
    <t>From</t>
  </si>
  <si>
    <t>To</t>
  </si>
  <si>
    <t>Action</t>
  </si>
  <si>
    <t>cy</t>
  </si>
  <si>
    <t>gd</t>
  </si>
  <si>
    <t>jn</t>
  </si>
  <si>
    <t>Sun 01.29</t>
  </si>
  <si>
    <t>Coffee Shops</t>
  </si>
  <si>
    <t>STARBUCKS STORE 1447 HOBOKEN NJ</t>
  </si>
  <si>
    <t>jn,cy</t>
  </si>
  <si>
    <t>Tue 01.31</t>
  </si>
  <si>
    <t>Clearance</t>
  </si>
  <si>
    <t>$</t>
  </si>
  <si>
    <t>fAmount:67.98:chetan:[cy]:FROM:$</t>
  </si>
  <si>
    <t>clearing, fAmount:67.98</t>
  </si>
  <si>
    <t>cy,0::FROM::67.98</t>
  </si>
  <si>
    <t>1::TO::0.0</t>
  </si>
  <si>
    <t>2::TRANSACTION::0.0</t>
  </si>
  <si>
    <t>3::OWE_OWED::-67.979996</t>
  </si>
  <si>
    <t>4::checksumTRANSACTION::0.0</t>
  </si>
  <si>
    <t>5::SPENT::177.98</t>
  </si>
  <si>
    <t>6::PAID::110.0</t>
  </si>
  <si>
    <t>7::checksumGROUPTOTALS::0.0</t>
  </si>
  <si>
    <t>8::checksumINDIVIDUALTOTALS::0.0</t>
  </si>
  <si>
    <t>fAmount:67.98:chetan:[jn]:TO:$</t>
  </si>
  <si>
    <t>jn,0::FROM::0.0</t>
  </si>
  <si>
    <t>1::TO::67.98</t>
  </si>
  <si>
    <t>3::OWE_OWED::91.26</t>
  </si>
  <si>
    <t>5::SPENT::260.85</t>
  </si>
  <si>
    <t>6::PAID::352.11002</t>
  </si>
  <si>
    <t>23:Tue 01.31:Clearance:-67.98:cy:jn:chetan:$</t>
  </si>
  <si>
    <t>fAmount:-67.98:chetan:[cy]:FROM:$</t>
  </si>
  <si>
    <t>clearing, fAmount:-67.98</t>
  </si>
  <si>
    <t>cy,0::FROM::-67.98</t>
  </si>
  <si>
    <t>fAmount:-67.98:chetan:[jn]:TO:$</t>
  </si>
  <si>
    <t>1::TO::-67.98</t>
  </si>
  <si>
    <r>
      <t>23:Tue 01.31:Clearance:</t>
    </r>
    <r>
      <rPr>
        <sz val="11"/>
        <color rgb="FF00B0F0"/>
        <rFont val="Calibri"/>
        <family val="2"/>
        <scheme val="minor"/>
      </rPr>
      <t>67.98</t>
    </r>
    <r>
      <rPr>
        <sz val="11"/>
        <color theme="1"/>
        <rFont val="Calibri"/>
        <family val="2"/>
        <scheme val="minor"/>
      </rPr>
      <t>:cy:jn:chetan:$</t>
    </r>
  </si>
  <si>
    <r>
      <t>3::OWE_OWED::</t>
    </r>
    <r>
      <rPr>
        <sz val="11"/>
        <color theme="5"/>
        <rFont val="Calibri"/>
        <family val="2"/>
        <scheme val="minor"/>
      </rPr>
      <t>-67.979996</t>
    </r>
  </si>
  <si>
    <r>
      <t>6::PAID::</t>
    </r>
    <r>
      <rPr>
        <sz val="11"/>
        <color rgb="FFC00000"/>
        <rFont val="Calibri"/>
        <family val="2"/>
        <scheme val="minor"/>
      </rPr>
      <t>110.0</t>
    </r>
  </si>
  <si>
    <r>
      <t xml:space="preserve">= </t>
    </r>
    <r>
      <rPr>
        <sz val="11"/>
        <color theme="5"/>
        <rFont val="Calibri"/>
        <family val="2"/>
        <scheme val="minor"/>
      </rPr>
      <t>-67.979996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rgb="FF00B0F0"/>
        <rFont val="Calibri"/>
        <family val="2"/>
        <scheme val="minor"/>
      </rPr>
      <t>67.98</t>
    </r>
    <r>
      <rPr>
        <sz val="11"/>
        <color theme="1"/>
        <rFont val="Calibri"/>
        <family val="2"/>
        <scheme val="minor"/>
      </rPr>
      <t xml:space="preserve"> = 0</t>
    </r>
  </si>
  <si>
    <r>
      <t xml:space="preserve">= </t>
    </r>
    <r>
      <rPr>
        <sz val="11"/>
        <color rgb="FFC00000"/>
        <rFont val="Calibri"/>
        <family val="2"/>
        <scheme val="minor"/>
      </rPr>
      <t>110.0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rgb="FF00B0F0"/>
        <rFont val="Calibri"/>
        <family val="2"/>
        <scheme val="minor"/>
      </rPr>
      <t>67.98</t>
    </r>
    <r>
      <rPr>
        <sz val="11"/>
        <color theme="1"/>
        <rFont val="Calibri"/>
        <family val="2"/>
        <scheme val="minor"/>
      </rPr>
      <t xml:space="preserve"> = 177.98</t>
    </r>
  </si>
  <si>
    <t>-67.979996</t>
  </si>
  <si>
    <t>110.0</t>
  </si>
  <si>
    <t>91.26</t>
  </si>
  <si>
    <r>
      <t>3::OWE_OWED::</t>
    </r>
    <r>
      <rPr>
        <sz val="11"/>
        <color theme="5"/>
        <rFont val="Calibri"/>
        <family val="2"/>
        <scheme val="minor"/>
      </rPr>
      <t>91.26</t>
    </r>
  </si>
  <si>
    <r>
      <t>6::PAID::</t>
    </r>
    <r>
      <rPr>
        <sz val="11"/>
        <color rgb="FFC00000"/>
        <rFont val="Calibri"/>
        <family val="2"/>
        <scheme val="minor"/>
      </rPr>
      <t>352.11002</t>
    </r>
  </si>
  <si>
    <t>352.11002</t>
  </si>
  <si>
    <r>
      <t xml:space="preserve">= </t>
    </r>
    <r>
      <rPr>
        <sz val="11"/>
        <color rgb="FFC00000"/>
        <rFont val="Calibri"/>
        <family val="2"/>
        <scheme val="minor"/>
      </rPr>
      <t>352.11002</t>
    </r>
    <r>
      <rPr>
        <sz val="11"/>
        <rFont val="Calibri"/>
        <family val="2"/>
        <scheme val="minor"/>
      </rPr>
      <t xml:space="preserve"> - </t>
    </r>
    <r>
      <rPr>
        <sz val="11"/>
        <color rgb="FF00B050"/>
        <rFont val="Calibri"/>
        <family val="2"/>
        <scheme val="minor"/>
      </rPr>
      <t>67.98</t>
    </r>
    <r>
      <rPr>
        <sz val="11"/>
        <rFont val="Calibri"/>
        <family val="2"/>
        <scheme val="minor"/>
      </rPr>
      <t xml:space="preserve"> = 284.13</t>
    </r>
  </si>
  <si>
    <r>
      <t xml:space="preserve">= </t>
    </r>
    <r>
      <rPr>
        <sz val="11"/>
        <color theme="5"/>
        <rFont val="Calibri"/>
        <family val="2"/>
        <scheme val="minor"/>
      </rPr>
      <t>91.26</t>
    </r>
    <r>
      <rPr>
        <sz val="11"/>
        <rFont val="Calibri"/>
        <family val="2"/>
        <scheme val="minor"/>
      </rPr>
      <t xml:space="preserve"> - </t>
    </r>
    <r>
      <rPr>
        <sz val="11"/>
        <color rgb="FF00B050"/>
        <rFont val="Calibri"/>
        <family val="2"/>
        <scheme val="minor"/>
      </rPr>
      <t>67.98</t>
    </r>
    <r>
      <rPr>
        <sz val="11"/>
        <color theme="1"/>
        <rFont val="Calibri"/>
        <family val="2"/>
        <scheme val="minor"/>
      </rPr>
      <t xml:space="preserve"> = 23.28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</si>
</sst>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0" xfId="0" applyBorder="1"/>
    <xf numFmtId="164" fontId="0" fillId="0" borderId="1" xfId="0" applyNumberFormat="1" applyBorder="1"/>
    <xf numFmtId="164" fontId="0" fillId="0" borderId="0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3" borderId="0" xfId="0" applyFill="1"/>
    <xf numFmtId="0" fontId="0" fillId="0" borderId="0" xfId="0" quotePrefix="1"/>
    <xf numFmtId="0" fontId="0" fillId="0" borderId="0" xfId="0" quotePrefix="1" applyFont="1"/>
    <xf numFmtId="164" fontId="4" fillId="0" borderId="0" xfId="0" quotePrefix="1" applyNumberFormat="1" applyFont="1" applyBorder="1"/>
    <xf numFmtId="164" fontId="7" fillId="0" borderId="0" xfId="0" quotePrefix="1" applyNumberFormat="1" applyFont="1" applyBorder="1"/>
    <xf numFmtId="164" fontId="6" fillId="0" borderId="0" xfId="0" quotePrefix="1" applyNumberFormat="1" applyFont="1" applyBorder="1"/>
    <xf numFmtId="164" fontId="8" fillId="0" borderId="0" xfId="0" applyNumberFormat="1" applyFont="1" applyBorder="1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98A8-17B3-4C24-B90B-B4CFC831F1AA}">
  <dimension ref="A1:W55"/>
  <sheetViews>
    <sheetView zoomScale="90" zoomScaleNormal="90" workbookViewId="0">
      <selection activeCell="L10" sqref="L10"/>
    </sheetView>
  </sheetViews>
  <sheetFormatPr defaultRowHeight="14.4" x14ac:dyDescent="0.3"/>
  <cols>
    <col min="15" max="15" width="9.44140625" bestFit="1" customWidth="1"/>
    <col min="18" max="18" width="15.5546875" customWidth="1"/>
    <col min="20" max="20" width="13.109375" customWidth="1"/>
    <col min="21" max="22" width="0" hidden="1" customWidth="1"/>
    <col min="23" max="23" width="2.33203125" customWidth="1"/>
  </cols>
  <sheetData>
    <row r="1" spans="1:23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s="8" t="s">
        <v>1</v>
      </c>
      <c r="J1" s="9"/>
      <c r="K1" s="10"/>
      <c r="L1" s="20" t="s">
        <v>2</v>
      </c>
      <c r="M1" s="21"/>
      <c r="N1" s="22"/>
      <c r="O1" s="8" t="s">
        <v>3</v>
      </c>
      <c r="P1" s="9"/>
      <c r="Q1" s="10"/>
      <c r="R1" s="20" t="s">
        <v>4</v>
      </c>
      <c r="S1" s="21"/>
      <c r="T1" s="22"/>
      <c r="U1" s="2" t="s">
        <v>5</v>
      </c>
      <c r="V1" s="3"/>
      <c r="W1" s="6"/>
    </row>
    <row r="2" spans="1:23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2" t="s">
        <v>14</v>
      </c>
      <c r="J2" s="3" t="s">
        <v>15</v>
      </c>
      <c r="K2" s="6" t="s">
        <v>16</v>
      </c>
      <c r="L2" s="2" t="s">
        <v>14</v>
      </c>
      <c r="M2" s="3" t="s">
        <v>15</v>
      </c>
      <c r="N2" s="6" t="s">
        <v>16</v>
      </c>
      <c r="O2" s="2" t="s">
        <v>14</v>
      </c>
      <c r="P2" s="3" t="s">
        <v>15</v>
      </c>
      <c r="Q2" s="6" t="s">
        <v>16</v>
      </c>
      <c r="R2" s="2" t="s">
        <v>14</v>
      </c>
      <c r="S2" s="3" t="s">
        <v>15</v>
      </c>
      <c r="T2" s="6" t="s">
        <v>16</v>
      </c>
      <c r="U2" s="2" t="s">
        <v>14</v>
      </c>
      <c r="V2" s="3" t="s">
        <v>15</v>
      </c>
      <c r="W2" s="6" t="s">
        <v>16</v>
      </c>
    </row>
    <row r="3" spans="1:23" x14ac:dyDescent="0.3">
      <c r="A3" t="s">
        <v>17</v>
      </c>
      <c r="B3" t="s">
        <v>18</v>
      </c>
      <c r="C3" t="s">
        <v>0</v>
      </c>
      <c r="D3" t="s">
        <v>19</v>
      </c>
      <c r="E3" s="1">
        <v>7.04</v>
      </c>
      <c r="F3" t="s">
        <v>16</v>
      </c>
      <c r="G3" t="s">
        <v>20</v>
      </c>
      <c r="H3" t="s">
        <v>0</v>
      </c>
      <c r="I3" s="4">
        <v>3.52</v>
      </c>
      <c r="J3" s="5">
        <v>0</v>
      </c>
      <c r="K3" s="7">
        <v>3.52</v>
      </c>
      <c r="L3" s="4">
        <v>-67.98</v>
      </c>
      <c r="M3" s="5">
        <v>-23.28</v>
      </c>
      <c r="N3" s="7">
        <v>91.26</v>
      </c>
      <c r="O3" s="4">
        <v>177.98</v>
      </c>
      <c r="P3" s="5">
        <v>23.28</v>
      </c>
      <c r="Q3" s="7">
        <v>260.85000000000002</v>
      </c>
      <c r="R3" s="4">
        <v>110</v>
      </c>
      <c r="S3" s="5">
        <v>0</v>
      </c>
      <c r="T3" s="7">
        <v>352.11</v>
      </c>
      <c r="U3" s="4">
        <v>0</v>
      </c>
      <c r="V3" s="5">
        <v>0</v>
      </c>
      <c r="W3" s="7">
        <v>0</v>
      </c>
    </row>
    <row r="4" spans="1:23" x14ac:dyDescent="0.3">
      <c r="A4" t="s">
        <v>21</v>
      </c>
      <c r="B4" t="s">
        <v>22</v>
      </c>
      <c r="D4" t="s">
        <v>22</v>
      </c>
      <c r="E4" s="1">
        <v>67.98</v>
      </c>
      <c r="F4" t="s">
        <v>14</v>
      </c>
      <c r="G4" t="s">
        <v>16</v>
      </c>
      <c r="H4" t="s">
        <v>23</v>
      </c>
      <c r="I4" s="11">
        <v>67.98</v>
      </c>
      <c r="J4" s="5">
        <v>0</v>
      </c>
      <c r="K4" s="7">
        <v>0</v>
      </c>
      <c r="L4" s="11">
        <f>L3+I4</f>
        <v>0</v>
      </c>
      <c r="M4" s="5"/>
      <c r="O4" s="4"/>
      <c r="P4" s="5"/>
      <c r="Q4" s="7"/>
      <c r="R4" s="11">
        <f>R3+I4</f>
        <v>177.98000000000002</v>
      </c>
      <c r="S4" s="5"/>
      <c r="T4" s="7"/>
      <c r="U4" s="4"/>
      <c r="V4" s="5"/>
      <c r="W4" s="7"/>
    </row>
    <row r="5" spans="1:23" x14ac:dyDescent="0.3">
      <c r="E5" s="1"/>
      <c r="I5" s="4"/>
      <c r="J5" s="5"/>
      <c r="K5" s="12">
        <f>-E4</f>
        <v>-67.98</v>
      </c>
      <c r="L5" s="4"/>
      <c r="M5" s="5"/>
      <c r="N5" s="12">
        <f>N3+K5</f>
        <v>23.28</v>
      </c>
      <c r="O5" s="4"/>
      <c r="P5" s="5"/>
      <c r="Q5" s="7"/>
      <c r="R5" s="4"/>
      <c r="S5" s="5"/>
      <c r="T5" s="12">
        <f>T3+K5</f>
        <v>284.13</v>
      </c>
      <c r="U5" s="4"/>
      <c r="V5" s="5"/>
      <c r="W5" s="7"/>
    </row>
    <row r="7" spans="1:23" x14ac:dyDescent="0.3">
      <c r="A7" t="s">
        <v>47</v>
      </c>
    </row>
    <row r="8" spans="1:23" x14ac:dyDescent="0.3">
      <c r="A8" t="s">
        <v>24</v>
      </c>
      <c r="F8" t="s">
        <v>14</v>
      </c>
      <c r="G8" t="s">
        <v>16</v>
      </c>
    </row>
    <row r="9" spans="1:23" x14ac:dyDescent="0.3">
      <c r="A9" t="s">
        <v>25</v>
      </c>
      <c r="F9" s="5">
        <v>67.98</v>
      </c>
      <c r="G9" s="5">
        <v>0</v>
      </c>
      <c r="H9" s="5"/>
      <c r="I9" s="5">
        <v>0</v>
      </c>
      <c r="J9" s="5"/>
      <c r="K9" s="5"/>
      <c r="L9" s="16" t="s">
        <v>52</v>
      </c>
      <c r="M9" s="5"/>
      <c r="N9" s="5"/>
      <c r="O9" s="19">
        <f>O3</f>
        <v>177.98</v>
      </c>
      <c r="P9" s="5"/>
      <c r="Q9" s="5"/>
      <c r="R9" s="17" t="s">
        <v>53</v>
      </c>
      <c r="S9" s="5"/>
      <c r="T9" s="5"/>
    </row>
    <row r="10" spans="1:23" x14ac:dyDescent="0.3">
      <c r="A10" t="s">
        <v>26</v>
      </c>
      <c r="L10" s="15" t="s">
        <v>50</v>
      </c>
      <c r="R10" s="15" t="s">
        <v>51</v>
      </c>
    </row>
    <row r="11" spans="1:23" x14ac:dyDescent="0.3">
      <c r="A11" t="s">
        <v>27</v>
      </c>
    </row>
    <row r="12" spans="1:23" x14ac:dyDescent="0.3">
      <c r="A12" t="s">
        <v>28</v>
      </c>
    </row>
    <row r="13" spans="1:23" x14ac:dyDescent="0.3">
      <c r="A13" t="s">
        <v>48</v>
      </c>
    </row>
    <row r="14" spans="1:23" x14ac:dyDescent="0.3">
      <c r="A14" t="s">
        <v>30</v>
      </c>
    </row>
    <row r="15" spans="1:23" x14ac:dyDescent="0.3">
      <c r="A15" t="s">
        <v>31</v>
      </c>
    </row>
    <row r="16" spans="1:23" x14ac:dyDescent="0.3">
      <c r="A16" t="s">
        <v>49</v>
      </c>
    </row>
    <row r="17" spans="1:20" x14ac:dyDescent="0.3">
      <c r="A17" t="s">
        <v>33</v>
      </c>
    </row>
    <row r="18" spans="1:20" x14ac:dyDescent="0.3">
      <c r="A18" t="s">
        <v>34</v>
      </c>
    </row>
    <row r="20" spans="1:20" x14ac:dyDescent="0.3">
      <c r="A20" t="s">
        <v>35</v>
      </c>
      <c r="F20" t="s">
        <v>14</v>
      </c>
      <c r="G20" t="s">
        <v>16</v>
      </c>
    </row>
    <row r="21" spans="1:20" x14ac:dyDescent="0.3">
      <c r="A21" t="s">
        <v>25</v>
      </c>
      <c r="F21" s="5">
        <v>0</v>
      </c>
      <c r="G21" s="5">
        <v>67.98</v>
      </c>
      <c r="H21" s="5"/>
      <c r="I21" s="5"/>
      <c r="J21" s="5"/>
      <c r="K21" s="5"/>
      <c r="L21" s="5"/>
      <c r="M21" s="5"/>
      <c r="N21" s="16" t="s">
        <v>54</v>
      </c>
      <c r="O21" s="5"/>
      <c r="P21" s="5"/>
      <c r="Q21" s="19">
        <f>Q3</f>
        <v>260.85000000000002</v>
      </c>
      <c r="R21" s="5"/>
      <c r="S21" s="5"/>
      <c r="T21" s="18" t="s">
        <v>57</v>
      </c>
    </row>
    <row r="22" spans="1:20" x14ac:dyDescent="0.3">
      <c r="A22" t="s">
        <v>36</v>
      </c>
      <c r="N22" s="14" t="s">
        <v>59</v>
      </c>
      <c r="T22" s="14" t="s">
        <v>58</v>
      </c>
    </row>
    <row r="23" spans="1:20" x14ac:dyDescent="0.3">
      <c r="A23" t="s">
        <v>37</v>
      </c>
    </row>
    <row r="24" spans="1:20" x14ac:dyDescent="0.3">
      <c r="A24" t="s">
        <v>28</v>
      </c>
    </row>
    <row r="25" spans="1:20" x14ac:dyDescent="0.3">
      <c r="A25" t="s">
        <v>55</v>
      </c>
    </row>
    <row r="26" spans="1:20" x14ac:dyDescent="0.3">
      <c r="A26" t="s">
        <v>30</v>
      </c>
    </row>
    <row r="27" spans="1:20" x14ac:dyDescent="0.3">
      <c r="A27" t="s">
        <v>39</v>
      </c>
    </row>
    <row r="28" spans="1:20" x14ac:dyDescent="0.3">
      <c r="A28" t="s">
        <v>56</v>
      </c>
    </row>
    <row r="29" spans="1:20" x14ac:dyDescent="0.3">
      <c r="A29" t="s">
        <v>33</v>
      </c>
    </row>
    <row r="30" spans="1:20" x14ac:dyDescent="0.3">
      <c r="A30" t="s">
        <v>34</v>
      </c>
    </row>
    <row r="31" spans="1:20" x14ac:dyDescent="0.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x14ac:dyDescent="0.3">
      <c r="A32" t="s">
        <v>41</v>
      </c>
    </row>
    <row r="33" spans="1:20" x14ac:dyDescent="0.3">
      <c r="A33" t="s">
        <v>42</v>
      </c>
      <c r="F33" s="5">
        <v>-67.98</v>
      </c>
      <c r="G33" s="5">
        <v>0</v>
      </c>
      <c r="H33" s="5"/>
      <c r="I33" s="5">
        <v>0</v>
      </c>
      <c r="J33" s="5"/>
      <c r="K33" s="5"/>
      <c r="L33" s="5">
        <f>-1*F33</f>
        <v>67.98</v>
      </c>
      <c r="M33" s="5"/>
      <c r="N33" s="5"/>
      <c r="O33" s="5">
        <f>O3</f>
        <v>177.98</v>
      </c>
      <c r="P33" s="5"/>
      <c r="Q33" s="5"/>
      <c r="R33" s="5">
        <f>R3</f>
        <v>110</v>
      </c>
      <c r="S33" s="5"/>
      <c r="T33" s="5"/>
    </row>
    <row r="34" spans="1:20" x14ac:dyDescent="0.3">
      <c r="A34" t="s">
        <v>43</v>
      </c>
    </row>
    <row r="35" spans="1:20" x14ac:dyDescent="0.3">
      <c r="A35" t="s">
        <v>44</v>
      </c>
    </row>
    <row r="36" spans="1:20" x14ac:dyDescent="0.3">
      <c r="A36" t="s">
        <v>27</v>
      </c>
    </row>
    <row r="37" spans="1:20" x14ac:dyDescent="0.3">
      <c r="A37" t="s">
        <v>28</v>
      </c>
    </row>
    <row r="38" spans="1:20" x14ac:dyDescent="0.3">
      <c r="A38" t="s">
        <v>29</v>
      </c>
    </row>
    <row r="39" spans="1:20" x14ac:dyDescent="0.3">
      <c r="A39" t="s">
        <v>30</v>
      </c>
    </row>
    <row r="40" spans="1:20" x14ac:dyDescent="0.3">
      <c r="A40" t="s">
        <v>31</v>
      </c>
    </row>
    <row r="41" spans="1:20" x14ac:dyDescent="0.3">
      <c r="A41" t="s">
        <v>32</v>
      </c>
    </row>
    <row r="42" spans="1:20" x14ac:dyDescent="0.3">
      <c r="A42" t="s">
        <v>33</v>
      </c>
    </row>
    <row r="43" spans="1:20" x14ac:dyDescent="0.3">
      <c r="A43" t="s">
        <v>34</v>
      </c>
    </row>
    <row r="45" spans="1:20" x14ac:dyDescent="0.3">
      <c r="A45" t="s">
        <v>45</v>
      </c>
    </row>
    <row r="46" spans="1:20" x14ac:dyDescent="0.3">
      <c r="A46" t="s">
        <v>43</v>
      </c>
      <c r="F46" s="5">
        <v>0</v>
      </c>
      <c r="G46" s="5">
        <v>-67.98</v>
      </c>
      <c r="H46" s="5"/>
      <c r="I46" s="5"/>
      <c r="J46" s="5"/>
      <c r="K46" s="5"/>
      <c r="L46" s="5"/>
      <c r="M46" s="5"/>
      <c r="N46" s="5">
        <f>N3</f>
        <v>91.26</v>
      </c>
      <c r="O46" s="5"/>
      <c r="P46" s="5"/>
      <c r="Q46" s="5">
        <f>Q3</f>
        <v>260.85000000000002</v>
      </c>
      <c r="R46" s="5"/>
      <c r="S46" s="5"/>
      <c r="T46" s="5">
        <f>T3</f>
        <v>352.11</v>
      </c>
    </row>
    <row r="47" spans="1:20" x14ac:dyDescent="0.3">
      <c r="A47" t="s">
        <v>36</v>
      </c>
    </row>
    <row r="48" spans="1:20" x14ac:dyDescent="0.3">
      <c r="A48" t="s">
        <v>46</v>
      </c>
    </row>
    <row r="49" spans="1:1" x14ac:dyDescent="0.3">
      <c r="A49" t="s">
        <v>28</v>
      </c>
    </row>
    <row r="50" spans="1:1" x14ac:dyDescent="0.3">
      <c r="A50" t="s">
        <v>38</v>
      </c>
    </row>
    <row r="51" spans="1:1" x14ac:dyDescent="0.3">
      <c r="A51" t="s">
        <v>30</v>
      </c>
    </row>
    <row r="52" spans="1:1" x14ac:dyDescent="0.3">
      <c r="A52" t="s">
        <v>39</v>
      </c>
    </row>
    <row r="53" spans="1:1" x14ac:dyDescent="0.3">
      <c r="A53" t="s">
        <v>40</v>
      </c>
    </row>
    <row r="54" spans="1:1" x14ac:dyDescent="0.3">
      <c r="A54" t="s">
        <v>33</v>
      </c>
    </row>
    <row r="55" spans="1:1" x14ac:dyDescent="0.3">
      <c r="A55" t="s">
        <v>34</v>
      </c>
    </row>
  </sheetData>
  <mergeCells count="4">
    <mergeCell ref="O1:Q1"/>
    <mergeCell ref="R1:T1"/>
    <mergeCell ref="L1:N1"/>
    <mergeCell ref="I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48FC-4DC9-47E9-B6F0-805ED0B63746}">
  <dimension ref="A1:B6"/>
  <sheetViews>
    <sheetView tabSelected="1" workbookViewId="0">
      <selection activeCell="A7" sqref="A7"/>
    </sheetView>
  </sheetViews>
  <sheetFormatPr defaultRowHeight="14.4" x14ac:dyDescent="0.3"/>
  <sheetData>
    <row r="1" spans="1:2" x14ac:dyDescent="0.3">
      <c r="A1">
        <v>23.28</v>
      </c>
    </row>
    <row r="2" spans="1:2" x14ac:dyDescent="0.3">
      <c r="A2">
        <v>67.98</v>
      </c>
    </row>
    <row r="3" spans="1:2" x14ac:dyDescent="0.3">
      <c r="A3">
        <f>A1-A2</f>
        <v>-44.7</v>
      </c>
    </row>
    <row r="5" spans="1:2" x14ac:dyDescent="0.3">
      <c r="A5">
        <v>-67.98</v>
      </c>
      <c r="B5">
        <f>0 + (-1 * 67.98)</f>
        <v>-67.98</v>
      </c>
    </row>
    <row r="6" spans="1:2" x14ac:dyDescent="0.3">
      <c r="A6">
        <v>91.26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Broadridge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Nazareth, John</dc:creator>
  <cp:lastModifiedBy>Nazareth, John</cp:lastModifiedBy>
  <dcterms:created xsi:type="dcterms:W3CDTF">2024-01-28T16:29:26Z</dcterms:created>
  <dcterms:modified xsi:type="dcterms:W3CDTF">2024-01-28T19:31:07Z</dcterms:modified>
</cp:coreProperties>
</file>